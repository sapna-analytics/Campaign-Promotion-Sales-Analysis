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9694d83be1321e/Desktop/"/>
    </mc:Choice>
  </mc:AlternateContent>
  <xr:revisionPtr revIDLastSave="0" documentId="8_{9B824C9F-5BE0-418C-8A7A-19209E8F7D54}" xr6:coauthVersionLast="47" xr6:coauthVersionMax="47" xr10:uidLastSave="{00000000-0000-0000-0000-000000000000}"/>
  <bookViews>
    <workbookView xWindow="-108" yWindow="-108" windowWidth="23256" windowHeight="12456" activeTab="3" xr2:uid="{ED3C26B2-C56C-4C63-88D0-ADA3FDD00027}"/>
  </bookViews>
  <sheets>
    <sheet name="fact_events" sheetId="1" r:id="rId1"/>
    <sheet name="dim_stores" sheetId="2" r:id="rId2"/>
    <sheet name="dim_products" sheetId="3" r:id="rId3"/>
    <sheet name="dim_campaigns" sheetId="4" r:id="rId4"/>
  </sheets>
  <definedNames>
    <definedName name="_xlnm._FilterDatabase" localSheetId="0" hidden="1">fact_events!$A$1:$I$1501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2" i="1"/>
  <c r="J2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2" i="1"/>
</calcChain>
</file>

<file path=xl/sharedStrings.xml><?xml version="1.0" encoding="utf-8"?>
<sst xmlns="http://schemas.openxmlformats.org/spreadsheetml/2006/main" count="7575" uniqueCount="1527">
  <si>
    <t>event_id</t>
  </si>
  <si>
    <t>store_id</t>
  </si>
  <si>
    <t>campaign_id</t>
  </si>
  <si>
    <t>product_code</t>
  </si>
  <si>
    <t>base_price</t>
  </si>
  <si>
    <t>promo_type</t>
  </si>
  <si>
    <t>quantity_sold(before_promo)</t>
  </si>
  <si>
    <t>quantity_sold(after_promo)</t>
  </si>
  <si>
    <t>7f650b</t>
  </si>
  <si>
    <t>STCBE-2</t>
  </si>
  <si>
    <t>CAMP_SAN_01</t>
  </si>
  <si>
    <t>P11</t>
  </si>
  <si>
    <t>50% OFF</t>
  </si>
  <si>
    <t>a21f91</t>
  </si>
  <si>
    <t>STBLR-8</t>
  </si>
  <si>
    <t>CAMP_DIW_01</t>
  </si>
  <si>
    <t>P03</t>
  </si>
  <si>
    <t>25% OFF</t>
  </si>
  <si>
    <t>78bc80</t>
  </si>
  <si>
    <t>STVJD-0</t>
  </si>
  <si>
    <t>P07</t>
  </si>
  <si>
    <t>BOGOF</t>
  </si>
  <si>
    <t>a1503f</t>
  </si>
  <si>
    <t>STCBE-1</t>
  </si>
  <si>
    <t>P15</t>
  </si>
  <si>
    <t>500 Cashback</t>
  </si>
  <si>
    <t>1091cf</t>
  </si>
  <si>
    <t>STBLR-6</t>
  </si>
  <si>
    <t>P05</t>
  </si>
  <si>
    <t>STBLR-4</t>
  </si>
  <si>
    <t>73d86f</t>
  </si>
  <si>
    <t>STVSK-2</t>
  </si>
  <si>
    <t>P10</t>
  </si>
  <si>
    <t>fe3560</t>
  </si>
  <si>
    <t>STHYD-4</t>
  </si>
  <si>
    <t>P13</t>
  </si>
  <si>
    <t>6b2afc</t>
  </si>
  <si>
    <t>STCBE-4</t>
  </si>
  <si>
    <t>P08</t>
  </si>
  <si>
    <t>ce5851</t>
  </si>
  <si>
    <t>STMDU-2</t>
  </si>
  <si>
    <t>dd6685</t>
  </si>
  <si>
    <t>STMYS-2</t>
  </si>
  <si>
    <t>P06</t>
  </si>
  <si>
    <t>8f25a6</t>
  </si>
  <si>
    <t>STHYD-6</t>
  </si>
  <si>
    <t>5c3c33</t>
  </si>
  <si>
    <t>STCHE-6</t>
  </si>
  <si>
    <t>P12</t>
  </si>
  <si>
    <t>d290a1</t>
  </si>
  <si>
    <t>STBLR-3</t>
  </si>
  <si>
    <t>P04</t>
  </si>
  <si>
    <t>STVSK-4</t>
  </si>
  <si>
    <t>P02</t>
  </si>
  <si>
    <t>33% OFF</t>
  </si>
  <si>
    <t>c0ecb5</t>
  </si>
  <si>
    <t>STCHE-2</t>
  </si>
  <si>
    <t>182caa</t>
  </si>
  <si>
    <t>STCHE-5</t>
  </si>
  <si>
    <t>c4db5b</t>
  </si>
  <si>
    <t>STTRV-0</t>
  </si>
  <si>
    <t>P01</t>
  </si>
  <si>
    <t>94f48c</t>
  </si>
  <si>
    <t>STVSK-1</t>
  </si>
  <si>
    <t>7ef92f</t>
  </si>
  <si>
    <t>STHYD-5</t>
  </si>
  <si>
    <t>0f422c</t>
  </si>
  <si>
    <t>STBLR-0</t>
  </si>
  <si>
    <t>P14</t>
  </si>
  <si>
    <t>1e9a06</t>
  </si>
  <si>
    <t>STCHE-4</t>
  </si>
  <si>
    <t>02ebe9</t>
  </si>
  <si>
    <t>260ff2</t>
  </si>
  <si>
    <t>7fc923</t>
  </si>
  <si>
    <t>b08c12</t>
  </si>
  <si>
    <t>STMDU-3</t>
  </si>
  <si>
    <t>ca7298</t>
  </si>
  <si>
    <t>bf33ae</t>
  </si>
  <si>
    <t>STMYS-0</t>
  </si>
  <si>
    <t>35fb5b</t>
  </si>
  <si>
    <t>def6ff</t>
  </si>
  <si>
    <t>STMDU-0</t>
  </si>
  <si>
    <t>2f3e5d</t>
  </si>
  <si>
    <t>ca3893</t>
  </si>
  <si>
    <t>STMYS-1</t>
  </si>
  <si>
    <t>P09</t>
  </si>
  <si>
    <t>922e6a</t>
  </si>
  <si>
    <t>4f0587</t>
  </si>
  <si>
    <t>fa5b45</t>
  </si>
  <si>
    <t>STVJD-1</t>
  </si>
  <si>
    <t>df45ee</t>
  </si>
  <si>
    <t>STHYD-3</t>
  </si>
  <si>
    <t>f3ac85</t>
  </si>
  <si>
    <t>STBLR-5</t>
  </si>
  <si>
    <t>292ca5</t>
  </si>
  <si>
    <t>STHYD-2</t>
  </si>
  <si>
    <t>STMYS-3</t>
  </si>
  <si>
    <t>7e9777</t>
  </si>
  <si>
    <t>eb3bea</t>
  </si>
  <si>
    <t>STCBE-3</t>
  </si>
  <si>
    <t>3beb46</t>
  </si>
  <si>
    <t>47af00</t>
  </si>
  <si>
    <t>bc8315</t>
  </si>
  <si>
    <t>STHYD-1</t>
  </si>
  <si>
    <t>1f083a</t>
  </si>
  <si>
    <t>c1e0b6</t>
  </si>
  <si>
    <t>f60d93</t>
  </si>
  <si>
    <t>STCBE-0</t>
  </si>
  <si>
    <t>a10402</t>
  </si>
  <si>
    <t>741bef</t>
  </si>
  <si>
    <t>STCHE-0</t>
  </si>
  <si>
    <t>a85a9a</t>
  </si>
  <si>
    <t>830e9a</t>
  </si>
  <si>
    <t>STCHE-1</t>
  </si>
  <si>
    <t>29524a</t>
  </si>
  <si>
    <t>STBLR-9</t>
  </si>
  <si>
    <t>3ce076</t>
  </si>
  <si>
    <t>STMLR-1</t>
  </si>
  <si>
    <t>32fa85</t>
  </si>
  <si>
    <t>STCHE-3</t>
  </si>
  <si>
    <t>42f304</t>
  </si>
  <si>
    <t>a929ed</t>
  </si>
  <si>
    <t>6dae49</t>
  </si>
  <si>
    <t>STBLR-1</t>
  </si>
  <si>
    <t>3b54c7</t>
  </si>
  <si>
    <t>7d6e2a</t>
  </si>
  <si>
    <t>STMLR-0</t>
  </si>
  <si>
    <t>c8ce63</t>
  </si>
  <si>
    <t>bd1314</t>
  </si>
  <si>
    <t>7634c0</t>
  </si>
  <si>
    <t>d304f9</t>
  </si>
  <si>
    <t>34ac29</t>
  </si>
  <si>
    <t>57a7bc</t>
  </si>
  <si>
    <t>70e65e</t>
  </si>
  <si>
    <t>cf2a34</t>
  </si>
  <si>
    <t>1c1cb7</t>
  </si>
  <si>
    <t>ad56bd</t>
  </si>
  <si>
    <t>STMLR-2</t>
  </si>
  <si>
    <t>32efe6</t>
  </si>
  <si>
    <t>STVSK-3</t>
  </si>
  <si>
    <t>eaa64b</t>
  </si>
  <si>
    <t>9e82db</t>
  </si>
  <si>
    <t>STMDU-1</t>
  </si>
  <si>
    <t>d5b8af</t>
  </si>
  <si>
    <t>6d24bc</t>
  </si>
  <si>
    <t>04da18</t>
  </si>
  <si>
    <t>3a3e96</t>
  </si>
  <si>
    <t>8f1624</t>
  </si>
  <si>
    <t>b8269b</t>
  </si>
  <si>
    <t>c6ca4d</t>
  </si>
  <si>
    <t>0b51fe</t>
  </si>
  <si>
    <t>d1ceaf</t>
  </si>
  <si>
    <t>d834f0</t>
  </si>
  <si>
    <t>1ed982</t>
  </si>
  <si>
    <t>e9c690</t>
  </si>
  <si>
    <t>268ca2</t>
  </si>
  <si>
    <t>a1624e</t>
  </si>
  <si>
    <t>31b59d</t>
  </si>
  <si>
    <t>82454e</t>
  </si>
  <si>
    <t>1548f8</t>
  </si>
  <si>
    <t>84a2f4</t>
  </si>
  <si>
    <t>STCHE-7</t>
  </si>
  <si>
    <t>9e59d5</t>
  </si>
  <si>
    <t>8b751b</t>
  </si>
  <si>
    <t>f856b9</t>
  </si>
  <si>
    <t>dcaa89</t>
  </si>
  <si>
    <t>677e2c</t>
  </si>
  <si>
    <t>b00eeb</t>
  </si>
  <si>
    <t>8ff468</t>
  </si>
  <si>
    <t>72f6b4</t>
  </si>
  <si>
    <t>7ecbbb</t>
  </si>
  <si>
    <t>2dc515</t>
  </si>
  <si>
    <t>a4fb0b</t>
  </si>
  <si>
    <t>f2d198</t>
  </si>
  <si>
    <t>STTRV-1</t>
  </si>
  <si>
    <t>df5c15</t>
  </si>
  <si>
    <t>4e6a19</t>
  </si>
  <si>
    <t>6436da</t>
  </si>
  <si>
    <t>852b4f</t>
  </si>
  <si>
    <t>26322a</t>
  </si>
  <si>
    <t>57576d</t>
  </si>
  <si>
    <t>af646e</t>
  </si>
  <si>
    <t>ccbc3a</t>
  </si>
  <si>
    <t>5a21a5</t>
  </si>
  <si>
    <t>c6bf42</t>
  </si>
  <si>
    <t>f5ff07</t>
  </si>
  <si>
    <t>2c8137</t>
  </si>
  <si>
    <t>4e3a3d</t>
  </si>
  <si>
    <t>9387d1</t>
  </si>
  <si>
    <t>6c9451</t>
  </si>
  <si>
    <t>STVSK-0</t>
  </si>
  <si>
    <t>9c74f7</t>
  </si>
  <si>
    <t>c3bbcc</t>
  </si>
  <si>
    <t>STBLR-2</t>
  </si>
  <si>
    <t>00a25a</t>
  </si>
  <si>
    <t>7b0f7d</t>
  </si>
  <si>
    <t>b484bd</t>
  </si>
  <si>
    <t>3aaafb</t>
  </si>
  <si>
    <t>20d916</t>
  </si>
  <si>
    <t>eccfbe</t>
  </si>
  <si>
    <t>71a7a0</t>
  </si>
  <si>
    <t>fd2628</t>
  </si>
  <si>
    <t>7b187a</t>
  </si>
  <si>
    <t>345b49</t>
  </si>
  <si>
    <t>1c4a78</t>
  </si>
  <si>
    <t>70c312</t>
  </si>
  <si>
    <t>1ee94b</t>
  </si>
  <si>
    <t>STHYD-0</t>
  </si>
  <si>
    <t>c381ea</t>
  </si>
  <si>
    <t>8724c8</t>
  </si>
  <si>
    <t>8f3699</t>
  </si>
  <si>
    <t>bfb2b4</t>
  </si>
  <si>
    <t>STBLR-7</t>
  </si>
  <si>
    <t>19e2f0</t>
  </si>
  <si>
    <t>a0d919</t>
  </si>
  <si>
    <t>98c85b</t>
  </si>
  <si>
    <t>d60641</t>
  </si>
  <si>
    <t>a340fc</t>
  </si>
  <si>
    <t>4dca21</t>
  </si>
  <si>
    <t>ff18f2</t>
  </si>
  <si>
    <t>b79fd9</t>
  </si>
  <si>
    <t>c23e33</t>
  </si>
  <si>
    <t>cf734f</t>
  </si>
  <si>
    <t>0951b6</t>
  </si>
  <si>
    <t>413f48</t>
  </si>
  <si>
    <t>de1ced</t>
  </si>
  <si>
    <t>291ddf</t>
  </si>
  <si>
    <t>aa1bbd</t>
  </si>
  <si>
    <t>53a947</t>
  </si>
  <si>
    <t>b8f698</t>
  </si>
  <si>
    <t>13ad42</t>
  </si>
  <si>
    <t>93e61f</t>
  </si>
  <si>
    <t>3070a3</t>
  </si>
  <si>
    <t>cf0a2a</t>
  </si>
  <si>
    <t>ae5745</t>
  </si>
  <si>
    <t>695cd9</t>
  </si>
  <si>
    <t>b76614</t>
  </si>
  <si>
    <t>d42636</t>
  </si>
  <si>
    <t>d9d3f4</t>
  </si>
  <si>
    <t>8cbaa3</t>
  </si>
  <si>
    <t>aaea9e</t>
  </si>
  <si>
    <t>34a266</t>
  </si>
  <si>
    <t>b017e0</t>
  </si>
  <si>
    <t>7014a8</t>
  </si>
  <si>
    <t>9e2de4</t>
  </si>
  <si>
    <t>ec29f9</t>
  </si>
  <si>
    <t>5c50b6</t>
  </si>
  <si>
    <t>e2a523</t>
  </si>
  <si>
    <t>166a02</t>
  </si>
  <si>
    <t>61b929</t>
  </si>
  <si>
    <t>908a96</t>
  </si>
  <si>
    <t>d0f417</t>
  </si>
  <si>
    <t>c4b10c</t>
  </si>
  <si>
    <t>e39703</t>
  </si>
  <si>
    <t>029ff8</t>
  </si>
  <si>
    <t>daff65</t>
  </si>
  <si>
    <t>108a63</t>
  </si>
  <si>
    <t>e7d681</t>
  </si>
  <si>
    <t>02fa4b</t>
  </si>
  <si>
    <t>2b0a40</t>
  </si>
  <si>
    <t>406a98</t>
  </si>
  <si>
    <t>ad1849</t>
  </si>
  <si>
    <t>cfa879</t>
  </si>
  <si>
    <t>d2b963</t>
  </si>
  <si>
    <t>2e3393</t>
  </si>
  <si>
    <t>68718c</t>
  </si>
  <si>
    <t>7d1872</t>
  </si>
  <si>
    <t>4b3df6</t>
  </si>
  <si>
    <t>55b461</t>
  </si>
  <si>
    <t>6b26bc</t>
  </si>
  <si>
    <t>dbd453</t>
  </si>
  <si>
    <t>1fcb3a</t>
  </si>
  <si>
    <t>0a45d8</t>
  </si>
  <si>
    <t>e4235a</t>
  </si>
  <si>
    <t>ca1e8f</t>
  </si>
  <si>
    <t>aa76f1</t>
  </si>
  <si>
    <t>e8aca2</t>
  </si>
  <si>
    <t>c8670a</t>
  </si>
  <si>
    <t>c99d18</t>
  </si>
  <si>
    <t>bcbc28</t>
  </si>
  <si>
    <t>d7e3d8</t>
  </si>
  <si>
    <t>5991de</t>
  </si>
  <si>
    <t>4ad894</t>
  </si>
  <si>
    <t>72f1c0</t>
  </si>
  <si>
    <t>465ef1</t>
  </si>
  <si>
    <t>db76f3</t>
  </si>
  <si>
    <t>8f4f8c</t>
  </si>
  <si>
    <t>dd2475</t>
  </si>
  <si>
    <t>a0a2ec</t>
  </si>
  <si>
    <t>0f1be6</t>
  </si>
  <si>
    <t>5b357f</t>
  </si>
  <si>
    <t>3906da</t>
  </si>
  <si>
    <t>c917a3</t>
  </si>
  <si>
    <t>3a8b79</t>
  </si>
  <si>
    <t>c48008</t>
  </si>
  <si>
    <t>88a405</t>
  </si>
  <si>
    <t>1ba928</t>
  </si>
  <si>
    <t>7d5e81</t>
  </si>
  <si>
    <t>43feca</t>
  </si>
  <si>
    <t>9779b0</t>
  </si>
  <si>
    <t>bd2635</t>
  </si>
  <si>
    <t>4f255c</t>
  </si>
  <si>
    <t>386fdc</t>
  </si>
  <si>
    <t>3df185</t>
  </si>
  <si>
    <t>a37f93</t>
  </si>
  <si>
    <t>38b760</t>
  </si>
  <si>
    <t>660f7c</t>
  </si>
  <si>
    <t>5c8b9f</t>
  </si>
  <si>
    <t>ddddb3</t>
  </si>
  <si>
    <t>90b2fb</t>
  </si>
  <si>
    <t>cf9994</t>
  </si>
  <si>
    <t>fb4f00</t>
  </si>
  <si>
    <t>b41e58</t>
  </si>
  <si>
    <t>902a62</t>
  </si>
  <si>
    <t>da5d21</t>
  </si>
  <si>
    <t>8f2264</t>
  </si>
  <si>
    <t>1e2a0e</t>
  </si>
  <si>
    <t>7a6449</t>
  </si>
  <si>
    <t>5aa413</t>
  </si>
  <si>
    <t>11a64e</t>
  </si>
  <si>
    <t>67820e</t>
  </si>
  <si>
    <t>cd0d8e</t>
  </si>
  <si>
    <t>ee63b3</t>
  </si>
  <si>
    <t>abffa2</t>
  </si>
  <si>
    <t>5487a6</t>
  </si>
  <si>
    <t>0a4160</t>
  </si>
  <si>
    <t>6422b4</t>
  </si>
  <si>
    <t>6c7601</t>
  </si>
  <si>
    <t>d3575d</t>
  </si>
  <si>
    <t>75ad53</t>
  </si>
  <si>
    <t>a08c5e</t>
  </si>
  <si>
    <t>d8a4ae</t>
  </si>
  <si>
    <t>14f1e9</t>
  </si>
  <si>
    <t>11178a</t>
  </si>
  <si>
    <t>62775f</t>
  </si>
  <si>
    <t>4fca07</t>
  </si>
  <si>
    <t>a216f7</t>
  </si>
  <si>
    <t>18a68a</t>
  </si>
  <si>
    <t>1f5ed3</t>
  </si>
  <si>
    <t>58e374</t>
  </si>
  <si>
    <t>f7aec5</t>
  </si>
  <si>
    <t>f4192d</t>
  </si>
  <si>
    <t>a71e7c</t>
  </si>
  <si>
    <t>f49149</t>
  </si>
  <si>
    <t>e7cb59</t>
  </si>
  <si>
    <t>8b1147</t>
  </si>
  <si>
    <t>8d349f</t>
  </si>
  <si>
    <t>096adc</t>
  </si>
  <si>
    <t>5f0a89</t>
  </si>
  <si>
    <t>e8a904</t>
  </si>
  <si>
    <t>f1b7e9</t>
  </si>
  <si>
    <t>62d659</t>
  </si>
  <si>
    <t>333b7d</t>
  </si>
  <si>
    <t>da9b71</t>
  </si>
  <si>
    <t>2b0db4</t>
  </si>
  <si>
    <t>003e8d</t>
  </si>
  <si>
    <t>b0ab6c</t>
  </si>
  <si>
    <t>2d7f62</t>
  </si>
  <si>
    <t>58df9b</t>
  </si>
  <si>
    <t>f22294</t>
  </si>
  <si>
    <t>41b8f8</t>
  </si>
  <si>
    <t>cbe691</t>
  </si>
  <si>
    <t>0f2c3a</t>
  </si>
  <si>
    <t>5ae6d6</t>
  </si>
  <si>
    <t>a9ee19</t>
  </si>
  <si>
    <t>4ab9ba</t>
  </si>
  <si>
    <t>3164ea</t>
  </si>
  <si>
    <t>7bdc1e</t>
  </si>
  <si>
    <t>565a38</t>
  </si>
  <si>
    <t>ab3517</t>
  </si>
  <si>
    <t>1b295f</t>
  </si>
  <si>
    <t>a55960</t>
  </si>
  <si>
    <t>5a0c33</t>
  </si>
  <si>
    <t>74d23a</t>
  </si>
  <si>
    <t>d105db</t>
  </si>
  <si>
    <t>1620ea</t>
  </si>
  <si>
    <t>2177f8</t>
  </si>
  <si>
    <t>609bfd</t>
  </si>
  <si>
    <t>0013db</t>
  </si>
  <si>
    <t>6f3e24</t>
  </si>
  <si>
    <t>79a95a</t>
  </si>
  <si>
    <t>8cd1ec</t>
  </si>
  <si>
    <t>e57227</t>
  </si>
  <si>
    <t>79577d</t>
  </si>
  <si>
    <t>dbaf92</t>
  </si>
  <si>
    <t>27bc6e</t>
  </si>
  <si>
    <t>53bb94</t>
  </si>
  <si>
    <t>2fe1bb</t>
  </si>
  <si>
    <t>e553f2</t>
  </si>
  <si>
    <t>fc376a</t>
  </si>
  <si>
    <t>fdd666</t>
  </si>
  <si>
    <t>bbf357</t>
  </si>
  <si>
    <t>d180ef</t>
  </si>
  <si>
    <t>4888d5</t>
  </si>
  <si>
    <t>dead78</t>
  </si>
  <si>
    <t>c198da</t>
  </si>
  <si>
    <t>3cb389</t>
  </si>
  <si>
    <t>667c78</t>
  </si>
  <si>
    <t>02b894</t>
  </si>
  <si>
    <t>1bff17</t>
  </si>
  <si>
    <t>d6ff76</t>
  </si>
  <si>
    <t>d1e51d</t>
  </si>
  <si>
    <t>8f2a5a</t>
  </si>
  <si>
    <t>87be33</t>
  </si>
  <si>
    <t>a1e541</t>
  </si>
  <si>
    <t>6a1a5a</t>
  </si>
  <si>
    <t>361cfb</t>
  </si>
  <si>
    <t>951bda</t>
  </si>
  <si>
    <t>a692dc</t>
  </si>
  <si>
    <t>94953c</t>
  </si>
  <si>
    <t>af100a</t>
  </si>
  <si>
    <t>223d36</t>
  </si>
  <si>
    <t>ff43bf</t>
  </si>
  <si>
    <t>44838e</t>
  </si>
  <si>
    <t>1fa488</t>
  </si>
  <si>
    <t>73211e</t>
  </si>
  <si>
    <t>93a29e</t>
  </si>
  <si>
    <t>ec5570</t>
  </si>
  <si>
    <t>6ee2af</t>
  </si>
  <si>
    <t>f3a7b2</t>
  </si>
  <si>
    <t>2186aa</t>
  </si>
  <si>
    <t>e7bdad</t>
  </si>
  <si>
    <t>f90ae9</t>
  </si>
  <si>
    <t>348fe6</t>
  </si>
  <si>
    <t>17d5c1</t>
  </si>
  <si>
    <t>8f5618</t>
  </si>
  <si>
    <t>6bfa15</t>
  </si>
  <si>
    <t>aac58d</t>
  </si>
  <si>
    <t>ed0d01</t>
  </si>
  <si>
    <t>0eb41f</t>
  </si>
  <si>
    <t>9b8658</t>
  </si>
  <si>
    <t>3bc352</t>
  </si>
  <si>
    <t>40f110</t>
  </si>
  <si>
    <t>55fed8</t>
  </si>
  <si>
    <t>c1cdb5</t>
  </si>
  <si>
    <t>c134bb</t>
  </si>
  <si>
    <t>2361c6</t>
  </si>
  <si>
    <t>b44f0e</t>
  </si>
  <si>
    <t>607c9d</t>
  </si>
  <si>
    <t>5ea63d</t>
  </si>
  <si>
    <t>323aee</t>
  </si>
  <si>
    <t>99482c</t>
  </si>
  <si>
    <t>5ab1d5</t>
  </si>
  <si>
    <t>97ad03</t>
  </si>
  <si>
    <t>b666fa</t>
  </si>
  <si>
    <t>da3c49</t>
  </si>
  <si>
    <t>3459ec</t>
  </si>
  <si>
    <t>7f81c2</t>
  </si>
  <si>
    <t>b17786</t>
  </si>
  <si>
    <t>2cbc21</t>
  </si>
  <si>
    <t>eacf93</t>
  </si>
  <si>
    <t>0f184e</t>
  </si>
  <si>
    <t>52ec61</t>
  </si>
  <si>
    <t>541bef</t>
  </si>
  <si>
    <t>86a92b</t>
  </si>
  <si>
    <t>c6d7c5</t>
  </si>
  <si>
    <t>b58c2d</t>
  </si>
  <si>
    <t>d59c23</t>
  </si>
  <si>
    <t>68a7bc</t>
  </si>
  <si>
    <t>f98db5</t>
  </si>
  <si>
    <t>ffaba4</t>
  </si>
  <si>
    <t>f725c0</t>
  </si>
  <si>
    <t>f8e037</t>
  </si>
  <si>
    <t>b526b4</t>
  </si>
  <si>
    <t>0491f4</t>
  </si>
  <si>
    <t>879d99</t>
  </si>
  <si>
    <t>ec3591</t>
  </si>
  <si>
    <t>2db607</t>
  </si>
  <si>
    <t>b78191</t>
  </si>
  <si>
    <t>7b1d41</t>
  </si>
  <si>
    <t>a6e691</t>
  </si>
  <si>
    <t>f21ef6</t>
  </si>
  <si>
    <t>b999c5</t>
  </si>
  <si>
    <t>f6aa36</t>
  </si>
  <si>
    <t>d78c78</t>
  </si>
  <si>
    <t>12573c</t>
  </si>
  <si>
    <t>38ebfb</t>
  </si>
  <si>
    <t>5d23c1</t>
  </si>
  <si>
    <t>b83644</t>
  </si>
  <si>
    <t>ab8eb3</t>
  </si>
  <si>
    <t>99ce6a</t>
  </si>
  <si>
    <t>42b041</t>
  </si>
  <si>
    <t>fd5955</t>
  </si>
  <si>
    <t>268b09</t>
  </si>
  <si>
    <t>dcaeaa</t>
  </si>
  <si>
    <t>d31787</t>
  </si>
  <si>
    <t>f34069</t>
  </si>
  <si>
    <t>4f40ed</t>
  </si>
  <si>
    <t>12bb06</t>
  </si>
  <si>
    <t>5f2c41</t>
  </si>
  <si>
    <t>e0de60</t>
  </si>
  <si>
    <t>152ae4</t>
  </si>
  <si>
    <t>8e6ee5</t>
  </si>
  <si>
    <t>d0fd0e</t>
  </si>
  <si>
    <t>4fa17c</t>
  </si>
  <si>
    <t>bcf305</t>
  </si>
  <si>
    <t>66050c</t>
  </si>
  <si>
    <t>407f1c</t>
  </si>
  <si>
    <t>e12c11</t>
  </si>
  <si>
    <t>46d57b</t>
  </si>
  <si>
    <t>e80ad8</t>
  </si>
  <si>
    <t>f2bdcc</t>
  </si>
  <si>
    <t>8d20b8</t>
  </si>
  <si>
    <t>f88523</t>
  </si>
  <si>
    <t>177b80</t>
  </si>
  <si>
    <t>ef6d6d</t>
  </si>
  <si>
    <t>1e51ee</t>
  </si>
  <si>
    <t>c55ec9</t>
  </si>
  <si>
    <t>6bbadf</t>
  </si>
  <si>
    <t>edaef4</t>
  </si>
  <si>
    <t>d3f755</t>
  </si>
  <si>
    <t>0ba095</t>
  </si>
  <si>
    <t>6d65d2</t>
  </si>
  <si>
    <t>4ab3bc</t>
  </si>
  <si>
    <t>c22cf6</t>
  </si>
  <si>
    <t>cc2182</t>
  </si>
  <si>
    <t>bdf2b8</t>
  </si>
  <si>
    <t>db8aa8</t>
  </si>
  <si>
    <t>466d6c</t>
  </si>
  <si>
    <t>6444b7</t>
  </si>
  <si>
    <t>f1cd45</t>
  </si>
  <si>
    <t>23421e</t>
  </si>
  <si>
    <t>3c3c49</t>
  </si>
  <si>
    <t>680acd</t>
  </si>
  <si>
    <t>fe2fe7</t>
  </si>
  <si>
    <t>e2abd2</t>
  </si>
  <si>
    <t>7c51b1</t>
  </si>
  <si>
    <t>494f1b</t>
  </si>
  <si>
    <t>144c17</t>
  </si>
  <si>
    <t>28acbc</t>
  </si>
  <si>
    <t>00af86</t>
  </si>
  <si>
    <t>6321fa</t>
  </si>
  <si>
    <t>6a7668</t>
  </si>
  <si>
    <t>c7fefa</t>
  </si>
  <si>
    <t>c5f80e</t>
  </si>
  <si>
    <t>86755e</t>
  </si>
  <si>
    <t>a26b45</t>
  </si>
  <si>
    <t>fe7b5d</t>
  </si>
  <si>
    <t>8d68bc</t>
  </si>
  <si>
    <t>9bc176</t>
  </si>
  <si>
    <t>17df71</t>
  </si>
  <si>
    <t>342d35</t>
  </si>
  <si>
    <t>d8f51c</t>
  </si>
  <si>
    <t>cd36b2</t>
  </si>
  <si>
    <t>780aaa</t>
  </si>
  <si>
    <t>decd5e</t>
  </si>
  <si>
    <t>d88318</t>
  </si>
  <si>
    <t>bf2632</t>
  </si>
  <si>
    <t>8481be</t>
  </si>
  <si>
    <t>333ef0</t>
  </si>
  <si>
    <t>5dd3d3</t>
  </si>
  <si>
    <t>98cc83</t>
  </si>
  <si>
    <t>5a6ad7</t>
  </si>
  <si>
    <t>b0cc1e</t>
  </si>
  <si>
    <t>21b73e</t>
  </si>
  <si>
    <t>c3c9e3</t>
  </si>
  <si>
    <t>b76f57</t>
  </si>
  <si>
    <t>95792f</t>
  </si>
  <si>
    <t>53b2fd</t>
  </si>
  <si>
    <t>6a54d2</t>
  </si>
  <si>
    <t>cb7ddd</t>
  </si>
  <si>
    <t>f57184</t>
  </si>
  <si>
    <t>4f76ac</t>
  </si>
  <si>
    <t>3b086a</t>
  </si>
  <si>
    <t>0cc836</t>
  </si>
  <si>
    <t>aacd2a</t>
  </si>
  <si>
    <t>3968a6</t>
  </si>
  <si>
    <t>fc2170</t>
  </si>
  <si>
    <t>368ca0</t>
  </si>
  <si>
    <t>6d863b</t>
  </si>
  <si>
    <t>1d651c</t>
  </si>
  <si>
    <t>a7aa70</t>
  </si>
  <si>
    <t>06c981</t>
  </si>
  <si>
    <t>626cb9</t>
  </si>
  <si>
    <t>6c1493</t>
  </si>
  <si>
    <t>c22ead</t>
  </si>
  <si>
    <t>a35a4f</t>
  </si>
  <si>
    <t>4f7c26</t>
  </si>
  <si>
    <t>c4dae9</t>
  </si>
  <si>
    <t>f199be</t>
  </si>
  <si>
    <t>c1debe</t>
  </si>
  <si>
    <t>d61f6f</t>
  </si>
  <si>
    <t>459bc3</t>
  </si>
  <si>
    <t>ed90b8</t>
  </si>
  <si>
    <t>8fecef</t>
  </si>
  <si>
    <t>dc2bb1</t>
  </si>
  <si>
    <t>13a676</t>
  </si>
  <si>
    <t>42fb76</t>
  </si>
  <si>
    <t>f741af</t>
  </si>
  <si>
    <t>5c6465</t>
  </si>
  <si>
    <t>2ba228</t>
  </si>
  <si>
    <t>21ac82</t>
  </si>
  <si>
    <t>8e97d1</t>
  </si>
  <si>
    <t>fc8d10</t>
  </si>
  <si>
    <t>9a425b</t>
  </si>
  <si>
    <t>4f570c</t>
  </si>
  <si>
    <t>d1138a</t>
  </si>
  <si>
    <t>b6dd84</t>
  </si>
  <si>
    <t>151c7d</t>
  </si>
  <si>
    <t>8d5095</t>
  </si>
  <si>
    <t>efd0d2</t>
  </si>
  <si>
    <t>8ef678</t>
  </si>
  <si>
    <t>4ca177</t>
  </si>
  <si>
    <t>fc3f51</t>
  </si>
  <si>
    <t>f3d93f</t>
  </si>
  <si>
    <t>4692bf</t>
  </si>
  <si>
    <t>deb3a5</t>
  </si>
  <si>
    <t>a0dc46</t>
  </si>
  <si>
    <t>bb447f</t>
  </si>
  <si>
    <t>fa1dd3</t>
  </si>
  <si>
    <t>6aae63</t>
  </si>
  <si>
    <t>a24528</t>
  </si>
  <si>
    <t>4ff977</t>
  </si>
  <si>
    <t>f8b215</t>
  </si>
  <si>
    <t>f6c17f</t>
  </si>
  <si>
    <t>67f756</t>
  </si>
  <si>
    <t>d6cc80</t>
  </si>
  <si>
    <t>9d9a6c</t>
  </si>
  <si>
    <t>7ae5f8</t>
  </si>
  <si>
    <t>fedf26</t>
  </si>
  <si>
    <t>bfdede</t>
  </si>
  <si>
    <t>e2f806</t>
  </si>
  <si>
    <t>2706c5</t>
  </si>
  <si>
    <t>79f662</t>
  </si>
  <si>
    <t>3133f3</t>
  </si>
  <si>
    <t>fd4e7e</t>
  </si>
  <si>
    <t>77c6d5</t>
  </si>
  <si>
    <t>0d23fe</t>
  </si>
  <si>
    <t>221da2</t>
  </si>
  <si>
    <t>b1a501</t>
  </si>
  <si>
    <t>4e42b9</t>
  </si>
  <si>
    <t>1e5ae7</t>
  </si>
  <si>
    <t>078a6a</t>
  </si>
  <si>
    <t>8dca75</t>
  </si>
  <si>
    <t>4eb35e</t>
  </si>
  <si>
    <t>73ad85</t>
  </si>
  <si>
    <t>b98ea0</t>
  </si>
  <si>
    <t>4406de</t>
  </si>
  <si>
    <t>e98f37</t>
  </si>
  <si>
    <t>a2fd0b</t>
  </si>
  <si>
    <t>53089f</t>
  </si>
  <si>
    <t>82ff02</t>
  </si>
  <si>
    <t>20618e</t>
  </si>
  <si>
    <t>1b6084</t>
  </si>
  <si>
    <t>4cd59b</t>
  </si>
  <si>
    <t>716a3b</t>
  </si>
  <si>
    <t>c32fcd</t>
  </si>
  <si>
    <t>f517b1</t>
  </si>
  <si>
    <t>f2d468</t>
  </si>
  <si>
    <t>371e1a</t>
  </si>
  <si>
    <t>9bd616</t>
  </si>
  <si>
    <t>1c9eaa</t>
  </si>
  <si>
    <t>1b0022</t>
  </si>
  <si>
    <t>ad2ad4</t>
  </si>
  <si>
    <t>fad26a</t>
  </si>
  <si>
    <t>26a18a</t>
  </si>
  <si>
    <t>d3d574</t>
  </si>
  <si>
    <t>0edad5</t>
  </si>
  <si>
    <t>46ee5a</t>
  </si>
  <si>
    <t>9d3d1f</t>
  </si>
  <si>
    <t>caa1e1</t>
  </si>
  <si>
    <t>7d9576</t>
  </si>
  <si>
    <t>59f792</t>
  </si>
  <si>
    <t>5f18fc</t>
  </si>
  <si>
    <t>2fe921</t>
  </si>
  <si>
    <t>5760fd</t>
  </si>
  <si>
    <t>715baf</t>
  </si>
  <si>
    <t>d04bc1</t>
  </si>
  <si>
    <t>269cec</t>
  </si>
  <si>
    <t>41dc33</t>
  </si>
  <si>
    <t>005c46</t>
  </si>
  <si>
    <t>642b50</t>
  </si>
  <si>
    <t>93118f</t>
  </si>
  <si>
    <t>5e0a8c</t>
  </si>
  <si>
    <t>8ba5a1</t>
  </si>
  <si>
    <t>eb967c</t>
  </si>
  <si>
    <t>726ac4</t>
  </si>
  <si>
    <t>f8b6ac</t>
  </si>
  <si>
    <t>a83e09</t>
  </si>
  <si>
    <t>3100ef</t>
  </si>
  <si>
    <t>20da13</t>
  </si>
  <si>
    <t>380a4f</t>
  </si>
  <si>
    <t>8c13bb</t>
  </si>
  <si>
    <t>d70dcb</t>
  </si>
  <si>
    <t>ff3c54</t>
  </si>
  <si>
    <t>bae5cb</t>
  </si>
  <si>
    <t>23ef05</t>
  </si>
  <si>
    <t>49057f</t>
  </si>
  <si>
    <t>f3de30</t>
  </si>
  <si>
    <t>ac0b1c</t>
  </si>
  <si>
    <t>75c3a0</t>
  </si>
  <si>
    <t>5715c0</t>
  </si>
  <si>
    <t>e5db3d</t>
  </si>
  <si>
    <t>ef61c6</t>
  </si>
  <si>
    <t>0eb526</t>
  </si>
  <si>
    <t>eb8939</t>
  </si>
  <si>
    <t>316cd1</t>
  </si>
  <si>
    <t>5a94d6</t>
  </si>
  <si>
    <t>ff8f10</t>
  </si>
  <si>
    <t>9ff8d2</t>
  </si>
  <si>
    <t>0c0926</t>
  </si>
  <si>
    <t>41d6bd</t>
  </si>
  <si>
    <t>73c8f5</t>
  </si>
  <si>
    <t>1f0eaf</t>
  </si>
  <si>
    <t>bb62b3</t>
  </si>
  <si>
    <t>6c43b6</t>
  </si>
  <si>
    <t>86ec8d</t>
  </si>
  <si>
    <t>35463c</t>
  </si>
  <si>
    <t>95f061</t>
  </si>
  <si>
    <t>693b77</t>
  </si>
  <si>
    <t>4ca50a</t>
  </si>
  <si>
    <t>01b425</t>
  </si>
  <si>
    <t>d3d442</t>
  </si>
  <si>
    <t>b17f27</t>
  </si>
  <si>
    <t>be6ab1</t>
  </si>
  <si>
    <t>cf0ccd</t>
  </si>
  <si>
    <t>d7798b</t>
  </si>
  <si>
    <t>e93b62</t>
  </si>
  <si>
    <t>65f085</t>
  </si>
  <si>
    <t>39d354</t>
  </si>
  <si>
    <t>90f2d8</t>
  </si>
  <si>
    <t>d04c7f</t>
  </si>
  <si>
    <t>7b51be</t>
  </si>
  <si>
    <t>68c31e</t>
  </si>
  <si>
    <t>b6233e</t>
  </si>
  <si>
    <t>4b411a</t>
  </si>
  <si>
    <t>dd9914</t>
  </si>
  <si>
    <t>6a1564</t>
  </si>
  <si>
    <t>ac0b82</t>
  </si>
  <si>
    <t>19d7b5</t>
  </si>
  <si>
    <t>9d7bd2</t>
  </si>
  <si>
    <t>17edbc</t>
  </si>
  <si>
    <t>38bf1b</t>
  </si>
  <si>
    <t>4cc388</t>
  </si>
  <si>
    <t>c115da</t>
  </si>
  <si>
    <t>3bf731</t>
  </si>
  <si>
    <t>07e4ea</t>
  </si>
  <si>
    <t>a1ef43</t>
  </si>
  <si>
    <t>1cfaa8</t>
  </si>
  <si>
    <t>2eb400</t>
  </si>
  <si>
    <t>cd3392</t>
  </si>
  <si>
    <t>141d98</t>
  </si>
  <si>
    <t>e74698</t>
  </si>
  <si>
    <t>512d92</t>
  </si>
  <si>
    <t>ce3c11</t>
  </si>
  <si>
    <t>42a404</t>
  </si>
  <si>
    <t>7a2a47</t>
  </si>
  <si>
    <t>ad9ba5</t>
  </si>
  <si>
    <t>3080c6</t>
  </si>
  <si>
    <t>c11cad</t>
  </si>
  <si>
    <t>8a219d</t>
  </si>
  <si>
    <t>3ec68b</t>
  </si>
  <si>
    <t>0690d9</t>
  </si>
  <si>
    <t>c7f28c</t>
  </si>
  <si>
    <t>94102d</t>
  </si>
  <si>
    <t>f46036</t>
  </si>
  <si>
    <t>c74866</t>
  </si>
  <si>
    <t>ab6327</t>
  </si>
  <si>
    <t>41cb8f</t>
  </si>
  <si>
    <t>9a13a5</t>
  </si>
  <si>
    <t>cac6b5</t>
  </si>
  <si>
    <t>2c0a90</t>
  </si>
  <si>
    <t>7a9ebd</t>
  </si>
  <si>
    <t>19352c</t>
  </si>
  <si>
    <t>415f7e</t>
  </si>
  <si>
    <t>5c7b20</t>
  </si>
  <si>
    <t>c6693c</t>
  </si>
  <si>
    <t>0f750a</t>
  </si>
  <si>
    <t>d31554</t>
  </si>
  <si>
    <t>7151bb</t>
  </si>
  <si>
    <t>8f9cc5</t>
  </si>
  <si>
    <t>d81627</t>
  </si>
  <si>
    <t>6e5da9</t>
  </si>
  <si>
    <t>6e412f</t>
  </si>
  <si>
    <t>b110d3</t>
  </si>
  <si>
    <t>c2ee4f</t>
  </si>
  <si>
    <t>e45c30</t>
  </si>
  <si>
    <t>461ad4</t>
  </si>
  <si>
    <t>cbf0ad</t>
  </si>
  <si>
    <t>ff02ae</t>
  </si>
  <si>
    <t>6cb844</t>
  </si>
  <si>
    <t>2b41a0</t>
  </si>
  <si>
    <t>a50d87</t>
  </si>
  <si>
    <t>18810a</t>
  </si>
  <si>
    <t>edacb9</t>
  </si>
  <si>
    <t>ce95b1</t>
  </si>
  <si>
    <t>6ae240</t>
  </si>
  <si>
    <t>e2f6b2</t>
  </si>
  <si>
    <t>6b0ee6</t>
  </si>
  <si>
    <t>0aefa5</t>
  </si>
  <si>
    <t>0f3f34</t>
  </si>
  <si>
    <t>ed7b12</t>
  </si>
  <si>
    <t>debbd7</t>
  </si>
  <si>
    <t>2b8abd</t>
  </si>
  <si>
    <t>0da7fd</t>
  </si>
  <si>
    <t>d58c29</t>
  </si>
  <si>
    <t>fd48ff</t>
  </si>
  <si>
    <t>7912c8</t>
  </si>
  <si>
    <t>1768c2</t>
  </si>
  <si>
    <t>61089e</t>
  </si>
  <si>
    <t>e5e244</t>
  </si>
  <si>
    <t>1f8bc3</t>
  </si>
  <si>
    <t>e8d896</t>
  </si>
  <si>
    <t>2dd3f7</t>
  </si>
  <si>
    <t>b7db9e</t>
  </si>
  <si>
    <t>13d333</t>
  </si>
  <si>
    <t>77435f</t>
  </si>
  <si>
    <t>3181a7</t>
  </si>
  <si>
    <t>3ea719</t>
  </si>
  <si>
    <t>3d8361</t>
  </si>
  <si>
    <t>0d853d</t>
  </si>
  <si>
    <t>4d9f1a</t>
  </si>
  <si>
    <t>ea384f</t>
  </si>
  <si>
    <t>9fcb92</t>
  </si>
  <si>
    <t>b97eb0</t>
  </si>
  <si>
    <t>90110c</t>
  </si>
  <si>
    <t>72eed8</t>
  </si>
  <si>
    <t>d552e3</t>
  </si>
  <si>
    <t>74399f</t>
  </si>
  <si>
    <t>f9b0ef</t>
  </si>
  <si>
    <t>b838cd</t>
  </si>
  <si>
    <t>15265d</t>
  </si>
  <si>
    <t>18f69b</t>
  </si>
  <si>
    <t>2cc7f0</t>
  </si>
  <si>
    <t>f65a1e</t>
  </si>
  <si>
    <t>bff226</t>
  </si>
  <si>
    <t>d0356d</t>
  </si>
  <si>
    <t>262ff3</t>
  </si>
  <si>
    <t>0953d7</t>
  </si>
  <si>
    <t>d2a08d</t>
  </si>
  <si>
    <t>d33904</t>
  </si>
  <si>
    <t>13fd74</t>
  </si>
  <si>
    <t>c3ae5a</t>
  </si>
  <si>
    <t>2384f8</t>
  </si>
  <si>
    <t>14f79d</t>
  </si>
  <si>
    <t>89bbca</t>
  </si>
  <si>
    <t>61f82c</t>
  </si>
  <si>
    <t>bcad3c</t>
  </si>
  <si>
    <t>2749b0</t>
  </si>
  <si>
    <t>9ce293</t>
  </si>
  <si>
    <t>93dff2</t>
  </si>
  <si>
    <t>339bf7</t>
  </si>
  <si>
    <t>5c8834</t>
  </si>
  <si>
    <t>4162d7</t>
  </si>
  <si>
    <t>60170c</t>
  </si>
  <si>
    <t>4fbcf6</t>
  </si>
  <si>
    <t>1f1b71</t>
  </si>
  <si>
    <t>96a556</t>
  </si>
  <si>
    <t>6846a8</t>
  </si>
  <si>
    <t>0a453f</t>
  </si>
  <si>
    <t>fcee36</t>
  </si>
  <si>
    <t>58ce38</t>
  </si>
  <si>
    <t>4a5884</t>
  </si>
  <si>
    <t>e7769b</t>
  </si>
  <si>
    <t>27c86c</t>
  </si>
  <si>
    <t>f35446</t>
  </si>
  <si>
    <t>4a42f9</t>
  </si>
  <si>
    <t>9413a7</t>
  </si>
  <si>
    <t>b97dfe</t>
  </si>
  <si>
    <t>950a84</t>
  </si>
  <si>
    <t>686a37</t>
  </si>
  <si>
    <t>f0500d</t>
  </si>
  <si>
    <t>c16abb</t>
  </si>
  <si>
    <t>581ca5</t>
  </si>
  <si>
    <t>36968d</t>
  </si>
  <si>
    <t>f8a417</t>
  </si>
  <si>
    <t>400cab</t>
  </si>
  <si>
    <t>ef7122</t>
  </si>
  <si>
    <t>66b476</t>
  </si>
  <si>
    <t>5bbf38</t>
  </si>
  <si>
    <t>e67501</t>
  </si>
  <si>
    <t>98d4e3</t>
  </si>
  <si>
    <t>60229b</t>
  </si>
  <si>
    <t>35a25f</t>
  </si>
  <si>
    <t>4cf56a</t>
  </si>
  <si>
    <t>4d3722</t>
  </si>
  <si>
    <t>5e59a1</t>
  </si>
  <si>
    <t>0f8686</t>
  </si>
  <si>
    <t>c092d4</t>
  </si>
  <si>
    <t>24541f</t>
  </si>
  <si>
    <t>ebbe5d</t>
  </si>
  <si>
    <t>2ae8b8</t>
  </si>
  <si>
    <t>dafaa4</t>
  </si>
  <si>
    <t>4f757f</t>
  </si>
  <si>
    <t>0894b7</t>
  </si>
  <si>
    <t>a80b87</t>
  </si>
  <si>
    <t>3f9b4d</t>
  </si>
  <si>
    <t>6ed2f5</t>
  </si>
  <si>
    <t>855f49</t>
  </si>
  <si>
    <t>4a8c38</t>
  </si>
  <si>
    <t>1a1a02</t>
  </si>
  <si>
    <t>1a4a61</t>
  </si>
  <si>
    <t>aeed36</t>
  </si>
  <si>
    <t>e23132</t>
  </si>
  <si>
    <t>d76198</t>
  </si>
  <si>
    <t>0ae76a</t>
  </si>
  <si>
    <t>ce39e4</t>
  </si>
  <si>
    <t>fcf54a</t>
  </si>
  <si>
    <t>0b9826</t>
  </si>
  <si>
    <t>fbab9b</t>
  </si>
  <si>
    <t>e2c229</t>
  </si>
  <si>
    <t>2e48c4</t>
  </si>
  <si>
    <t>171bbb</t>
  </si>
  <si>
    <t>ace471</t>
  </si>
  <si>
    <t>a26e60</t>
  </si>
  <si>
    <t>cb43c4</t>
  </si>
  <si>
    <t>ba72b1</t>
  </si>
  <si>
    <t>e89f85</t>
  </si>
  <si>
    <t>c95efb</t>
  </si>
  <si>
    <t>dec49d</t>
  </si>
  <si>
    <t>a5800c</t>
  </si>
  <si>
    <t>5d5637</t>
  </si>
  <si>
    <t>f9d2c6</t>
  </si>
  <si>
    <t>0ee55a</t>
  </si>
  <si>
    <t>1192bc</t>
  </si>
  <si>
    <t>be65d7</t>
  </si>
  <si>
    <t>6bb477</t>
  </si>
  <si>
    <t>a2d32f</t>
  </si>
  <si>
    <t>5f29e7</t>
  </si>
  <si>
    <t>802dfa</t>
  </si>
  <si>
    <t>0b38d9</t>
  </si>
  <si>
    <t>f013a9</t>
  </si>
  <si>
    <t>ea916f</t>
  </si>
  <si>
    <t>bd3f78</t>
  </si>
  <si>
    <t>feadc3</t>
  </si>
  <si>
    <t>f41256</t>
  </si>
  <si>
    <t>f25735</t>
  </si>
  <si>
    <t>5729c0</t>
  </si>
  <si>
    <t>cf4f71</t>
  </si>
  <si>
    <t>60ba75</t>
  </si>
  <si>
    <t>6bce12</t>
  </si>
  <si>
    <t>1dd472</t>
  </si>
  <si>
    <t>f94f2f</t>
  </si>
  <si>
    <t>802b3c</t>
  </si>
  <si>
    <t>4aa7ef</t>
  </si>
  <si>
    <t>4e0e90</t>
  </si>
  <si>
    <t>9155d1</t>
  </si>
  <si>
    <t>f1421a</t>
  </si>
  <si>
    <t>fb29d7</t>
  </si>
  <si>
    <t>18c9f4</t>
  </si>
  <si>
    <t>2abe5e</t>
  </si>
  <si>
    <t>4a77da</t>
  </si>
  <si>
    <t>d46611</t>
  </si>
  <si>
    <t>30b66a</t>
  </si>
  <si>
    <t>e0a83a</t>
  </si>
  <si>
    <t>e78335</t>
  </si>
  <si>
    <t>a16acc</t>
  </si>
  <si>
    <t>250dee</t>
  </si>
  <si>
    <t>62769f</t>
  </si>
  <si>
    <t>8d7458</t>
  </si>
  <si>
    <t>6bf19b</t>
  </si>
  <si>
    <t>10a8b7</t>
  </si>
  <si>
    <t>bcffbb</t>
  </si>
  <si>
    <t>bea96f</t>
  </si>
  <si>
    <t>ebd35e</t>
  </si>
  <si>
    <t>b7f012</t>
  </si>
  <si>
    <t>b79118</t>
  </si>
  <si>
    <t>657a95</t>
  </si>
  <si>
    <t>f41ca1</t>
  </si>
  <si>
    <t>4d8607</t>
  </si>
  <si>
    <t>ffcda1</t>
  </si>
  <si>
    <t>c6e3ae</t>
  </si>
  <si>
    <t>a9d059</t>
  </si>
  <si>
    <t>f21f4c</t>
  </si>
  <si>
    <t>de0a50</t>
  </si>
  <si>
    <t>eae38f</t>
  </si>
  <si>
    <t>1c7c7f</t>
  </si>
  <si>
    <t>7f6f08</t>
  </si>
  <si>
    <t>f63299</t>
  </si>
  <si>
    <t>cfeac1</t>
  </si>
  <si>
    <t>15b3a7</t>
  </si>
  <si>
    <t>8e6e77</t>
  </si>
  <si>
    <t>fc2f67</t>
  </si>
  <si>
    <t>ac6273</t>
  </si>
  <si>
    <t>e5804e</t>
  </si>
  <si>
    <t>32b8a7</t>
  </si>
  <si>
    <t>3f2255</t>
  </si>
  <si>
    <t>75f9b8</t>
  </si>
  <si>
    <t>df380c</t>
  </si>
  <si>
    <t>3a1cad</t>
  </si>
  <si>
    <t>d730ac</t>
  </si>
  <si>
    <t>8aa62d</t>
  </si>
  <si>
    <t>fd788c</t>
  </si>
  <si>
    <t>fb9e95</t>
  </si>
  <si>
    <t>cefb49</t>
  </si>
  <si>
    <t>f0365e</t>
  </si>
  <si>
    <t>1809f2</t>
  </si>
  <si>
    <t>2e3594</t>
  </si>
  <si>
    <t>e0ef00</t>
  </si>
  <si>
    <t>46917a</t>
  </si>
  <si>
    <t>63a2d2</t>
  </si>
  <si>
    <t>6ae178</t>
  </si>
  <si>
    <t>367e8d</t>
  </si>
  <si>
    <t>0a3c5c</t>
  </si>
  <si>
    <t>d1bfe5</t>
  </si>
  <si>
    <t>9faad8</t>
  </si>
  <si>
    <t>5947fb</t>
  </si>
  <si>
    <t>e7f270</t>
  </si>
  <si>
    <t>06749d</t>
  </si>
  <si>
    <t>eb4f04</t>
  </si>
  <si>
    <t>ff9fa7</t>
  </si>
  <si>
    <t>669d35</t>
  </si>
  <si>
    <t>546cc3</t>
  </si>
  <si>
    <t>e7bb4f</t>
  </si>
  <si>
    <t>c4006c</t>
  </si>
  <si>
    <t>8e1636</t>
  </si>
  <si>
    <t>84aa9b</t>
  </si>
  <si>
    <t>fe1a8b</t>
  </si>
  <si>
    <t>440bd9</t>
  </si>
  <si>
    <t>63ef11</t>
  </si>
  <si>
    <t>0312a8</t>
  </si>
  <si>
    <t>4b8e08</t>
  </si>
  <si>
    <t>b94bda</t>
  </si>
  <si>
    <t>0c0339</t>
  </si>
  <si>
    <t>c5176d</t>
  </si>
  <si>
    <t>b5b0f5</t>
  </si>
  <si>
    <t>66f526</t>
  </si>
  <si>
    <t>3153d6</t>
  </si>
  <si>
    <t>a3caaa</t>
  </si>
  <si>
    <t>2c7cc7</t>
  </si>
  <si>
    <t>bed694</t>
  </si>
  <si>
    <t>817b4f</t>
  </si>
  <si>
    <t>d0daaa</t>
  </si>
  <si>
    <t>bb974d</t>
  </si>
  <si>
    <t>e025ee</t>
  </si>
  <si>
    <t>0f5588</t>
  </si>
  <si>
    <t>2e0950</t>
  </si>
  <si>
    <t>62e500</t>
  </si>
  <si>
    <t>37cb7c</t>
  </si>
  <si>
    <t>543c36</t>
  </si>
  <si>
    <t>d41d53</t>
  </si>
  <si>
    <t>5f65df</t>
  </si>
  <si>
    <t>9acfa3</t>
  </si>
  <si>
    <t>f94d7b</t>
  </si>
  <si>
    <t>75f30e</t>
  </si>
  <si>
    <t>b6b840</t>
  </si>
  <si>
    <t>7b49ce</t>
  </si>
  <si>
    <t>a107c4</t>
  </si>
  <si>
    <t>4858ab</t>
  </si>
  <si>
    <t>00a7c3</t>
  </si>
  <si>
    <t>fe68f2</t>
  </si>
  <si>
    <t>c8e17c</t>
  </si>
  <si>
    <t>8376c6</t>
  </si>
  <si>
    <t>bf49bf</t>
  </si>
  <si>
    <t>aa54a7</t>
  </si>
  <si>
    <t>4aa530</t>
  </si>
  <si>
    <t>5a4d9d</t>
  </si>
  <si>
    <t>ce68be</t>
  </si>
  <si>
    <t>9acae6</t>
  </si>
  <si>
    <t>2ba1ba</t>
  </si>
  <si>
    <t>6909d3</t>
  </si>
  <si>
    <t>d5769b</t>
  </si>
  <si>
    <t>c0d022</t>
  </si>
  <si>
    <t>ebbbb9</t>
  </si>
  <si>
    <t>14ff29</t>
  </si>
  <si>
    <t>f39a0c</t>
  </si>
  <si>
    <t>5bc324</t>
  </si>
  <si>
    <t>87564a</t>
  </si>
  <si>
    <t>6ba4b5</t>
  </si>
  <si>
    <t>7cf9ef</t>
  </si>
  <si>
    <t>bfc9da</t>
  </si>
  <si>
    <t>9ebcf9</t>
  </si>
  <si>
    <t>b60e6a</t>
  </si>
  <si>
    <t>c3b511</t>
  </si>
  <si>
    <t>de6e7e</t>
  </si>
  <si>
    <t>8f80ed</t>
  </si>
  <si>
    <t>a298bc</t>
  </si>
  <si>
    <t>003c65</t>
  </si>
  <si>
    <t>5f313a</t>
  </si>
  <si>
    <t>4f1bb6</t>
  </si>
  <si>
    <t>cd4c5a</t>
  </si>
  <si>
    <t>5abaf9</t>
  </si>
  <si>
    <t>bb83e5</t>
  </si>
  <si>
    <t>531a22</t>
  </si>
  <si>
    <t>fe1c63</t>
  </si>
  <si>
    <t>6046fa</t>
  </si>
  <si>
    <t>ef95a9</t>
  </si>
  <si>
    <t>16fb87</t>
  </si>
  <si>
    <t>be3489</t>
  </si>
  <si>
    <t>c4a484</t>
  </si>
  <si>
    <t>fb70b4</t>
  </si>
  <si>
    <t>1bfbb8</t>
  </si>
  <si>
    <t>a6276f</t>
  </si>
  <si>
    <t>f95092</t>
  </si>
  <si>
    <t>da99ec</t>
  </si>
  <si>
    <t>9c2c14</t>
  </si>
  <si>
    <t>11971a</t>
  </si>
  <si>
    <t>3426bd</t>
  </si>
  <si>
    <t>46021e</t>
  </si>
  <si>
    <t>29687a</t>
  </si>
  <si>
    <t>655aa2</t>
  </si>
  <si>
    <t>49e9ea</t>
  </si>
  <si>
    <t>0beb9b</t>
  </si>
  <si>
    <t>29411f</t>
  </si>
  <si>
    <t>8ff2bb</t>
  </si>
  <si>
    <t>918a17</t>
  </si>
  <si>
    <t>1e5c85</t>
  </si>
  <si>
    <t>7d89b1</t>
  </si>
  <si>
    <t>5db3e3</t>
  </si>
  <si>
    <t>35637b</t>
  </si>
  <si>
    <t>e788e5</t>
  </si>
  <si>
    <t>5c2d1f</t>
  </si>
  <si>
    <t>e96e9d</t>
  </si>
  <si>
    <t>6a7fa1</t>
  </si>
  <si>
    <t>1274dc</t>
  </si>
  <si>
    <t>fc7056</t>
  </si>
  <si>
    <t>69a46e</t>
  </si>
  <si>
    <t>a05e82</t>
  </si>
  <si>
    <t>da1969</t>
  </si>
  <si>
    <t>2fc575</t>
  </si>
  <si>
    <t>4ced30</t>
  </si>
  <si>
    <t>a37110</t>
  </si>
  <si>
    <t>8829ef</t>
  </si>
  <si>
    <t>aa6972</t>
  </si>
  <si>
    <t>dd8425</t>
  </si>
  <si>
    <t>f8a2a6</t>
  </si>
  <si>
    <t>c1c42d</t>
  </si>
  <si>
    <t>6eede8</t>
  </si>
  <si>
    <t>092c09</t>
  </si>
  <si>
    <t>3f34d5</t>
  </si>
  <si>
    <t>2b50e0</t>
  </si>
  <si>
    <t>92151c</t>
  </si>
  <si>
    <t>4ad12b</t>
  </si>
  <si>
    <t>1824c2</t>
  </si>
  <si>
    <t>9b309b</t>
  </si>
  <si>
    <t>0dfaac</t>
  </si>
  <si>
    <t>6ec0eb</t>
  </si>
  <si>
    <t>07ee94</t>
  </si>
  <si>
    <t>4a34a6</t>
  </si>
  <si>
    <t>8ea7e8</t>
  </si>
  <si>
    <t>6ee8ab</t>
  </si>
  <si>
    <t>0d70f7</t>
  </si>
  <si>
    <t>deea3e</t>
  </si>
  <si>
    <t>699bac</t>
  </si>
  <si>
    <t>cc4a67</t>
  </si>
  <si>
    <t>b456c0</t>
  </si>
  <si>
    <t>d2dc77</t>
  </si>
  <si>
    <t>f78e86</t>
  </si>
  <si>
    <t>9d1009</t>
  </si>
  <si>
    <t>0179b3</t>
  </si>
  <si>
    <t>933cae</t>
  </si>
  <si>
    <t>7704c2</t>
  </si>
  <si>
    <t>b55027</t>
  </si>
  <si>
    <t>0842b9</t>
  </si>
  <si>
    <t>1142fd</t>
  </si>
  <si>
    <t>35e1c7</t>
  </si>
  <si>
    <t>80255e</t>
  </si>
  <si>
    <t>37cb87</t>
  </si>
  <si>
    <t>fd5855</t>
  </si>
  <si>
    <t>0f714a</t>
  </si>
  <si>
    <t>4ab3c2</t>
  </si>
  <si>
    <t>57d06d</t>
  </si>
  <si>
    <t>ad783e</t>
  </si>
  <si>
    <t>cf616b</t>
  </si>
  <si>
    <t>e5e0dc</t>
  </si>
  <si>
    <t>30bacd</t>
  </si>
  <si>
    <t>68e849</t>
  </si>
  <si>
    <t>c3b647</t>
  </si>
  <si>
    <t>5dfa52</t>
  </si>
  <si>
    <t>9d63a7</t>
  </si>
  <si>
    <t>9fae1c</t>
  </si>
  <si>
    <t>ae288b</t>
  </si>
  <si>
    <t>f940cf</t>
  </si>
  <si>
    <t>7cf0d8</t>
  </si>
  <si>
    <t>a7c40d</t>
  </si>
  <si>
    <t>d4ccb5</t>
  </si>
  <si>
    <t>9953ec</t>
  </si>
  <si>
    <t>fc9ab7</t>
  </si>
  <si>
    <t>f32df2</t>
  </si>
  <si>
    <t>cf6323</t>
  </si>
  <si>
    <t>5372de</t>
  </si>
  <si>
    <t>24054f</t>
  </si>
  <si>
    <t>4f75fe</t>
  </si>
  <si>
    <t>21a8a0</t>
  </si>
  <si>
    <t>800f42</t>
  </si>
  <si>
    <t>cdb883</t>
  </si>
  <si>
    <t>9c2777</t>
  </si>
  <si>
    <t>a6cb9e</t>
  </si>
  <si>
    <t>f23d14</t>
  </si>
  <si>
    <t>ee68d9</t>
  </si>
  <si>
    <t>5e1671</t>
  </si>
  <si>
    <t>e411c6</t>
  </si>
  <si>
    <t>9ff4a9</t>
  </si>
  <si>
    <t>49706e</t>
  </si>
  <si>
    <t>7e28fb</t>
  </si>
  <si>
    <t>e4f1f3</t>
  </si>
  <si>
    <t>af2b25</t>
  </si>
  <si>
    <t>fe4bf5</t>
  </si>
  <si>
    <t>d91475</t>
  </si>
  <si>
    <t>09d857</t>
  </si>
  <si>
    <t>aa96fc</t>
  </si>
  <si>
    <t>2c893f</t>
  </si>
  <si>
    <t>bac74e</t>
  </si>
  <si>
    <t>31c430</t>
  </si>
  <si>
    <t>432f1d</t>
  </si>
  <si>
    <t>6edb42</t>
  </si>
  <si>
    <t>acf9c2</t>
  </si>
  <si>
    <t>0c9f61</t>
  </si>
  <si>
    <t>40baa1</t>
  </si>
  <si>
    <t>ba7fb5</t>
  </si>
  <si>
    <t>555fcd</t>
  </si>
  <si>
    <t>c649ca</t>
  </si>
  <si>
    <t>578a67</t>
  </si>
  <si>
    <t>35701b</t>
  </si>
  <si>
    <t>77c2be</t>
  </si>
  <si>
    <t>8cd89f</t>
  </si>
  <si>
    <t>1c3fb4</t>
  </si>
  <si>
    <t>0e96b4</t>
  </si>
  <si>
    <t>3ea7d6</t>
  </si>
  <si>
    <t>fb508c</t>
  </si>
  <si>
    <t>d671d3</t>
  </si>
  <si>
    <t>365da3</t>
  </si>
  <si>
    <t>33da9a</t>
  </si>
  <si>
    <t>e391bc</t>
  </si>
  <si>
    <t>cd4812</t>
  </si>
  <si>
    <t>c4123e</t>
  </si>
  <si>
    <t>933f7e</t>
  </si>
  <si>
    <t>7c8fd1</t>
  </si>
  <si>
    <t>4cd232</t>
  </si>
  <si>
    <t>65a802</t>
  </si>
  <si>
    <t>ffdcb8</t>
  </si>
  <si>
    <t>496b80</t>
  </si>
  <si>
    <t>4001c4</t>
  </si>
  <si>
    <t>84dbe3</t>
  </si>
  <si>
    <t>45c35a</t>
  </si>
  <si>
    <t>6d343d</t>
  </si>
  <si>
    <t>a672df</t>
  </si>
  <si>
    <t>ba0b3e</t>
  </si>
  <si>
    <t>faeeb8</t>
  </si>
  <si>
    <t>3adeb2</t>
  </si>
  <si>
    <t>a40872</t>
  </si>
  <si>
    <t>35e3ec</t>
  </si>
  <si>
    <t>8a7e7e</t>
  </si>
  <si>
    <t>b4867e</t>
  </si>
  <si>
    <t>cea0e2</t>
  </si>
  <si>
    <t>a6a18f</t>
  </si>
  <si>
    <t>1fcfc6</t>
  </si>
  <si>
    <t>5dda21</t>
  </si>
  <si>
    <t>b5cd07</t>
  </si>
  <si>
    <t>1a1edd</t>
  </si>
  <si>
    <t>f682ec</t>
  </si>
  <si>
    <t>349c73</t>
  </si>
  <si>
    <t>50802a</t>
  </si>
  <si>
    <t>e4b7e4</t>
  </si>
  <si>
    <t>5bfb5e</t>
  </si>
  <si>
    <t>6af3e0</t>
  </si>
  <si>
    <t>6b74c8</t>
  </si>
  <si>
    <t>ec9948</t>
  </si>
  <si>
    <t>c24879</t>
  </si>
  <si>
    <t>3c0536</t>
  </si>
  <si>
    <t>19bc3b</t>
  </si>
  <si>
    <t>691b63</t>
  </si>
  <si>
    <t>3ace0f</t>
  </si>
  <si>
    <t>8cee6d</t>
  </si>
  <si>
    <t>1f03e5</t>
  </si>
  <si>
    <t>d3227b</t>
  </si>
  <si>
    <t>731f58</t>
  </si>
  <si>
    <t>98e55f</t>
  </si>
  <si>
    <t>dee3e9</t>
  </si>
  <si>
    <t>4c1375</t>
  </si>
  <si>
    <t>6d153f</t>
  </si>
  <si>
    <t>1fc58f</t>
  </si>
  <si>
    <t>a25cbf</t>
  </si>
  <si>
    <t>adf52a</t>
  </si>
  <si>
    <t>c9899d</t>
  </si>
  <si>
    <t>e875c6</t>
  </si>
  <si>
    <t>69557f</t>
  </si>
  <si>
    <t>65f85a</t>
  </si>
  <si>
    <t>f45be0</t>
  </si>
  <si>
    <t>491ff2</t>
  </si>
  <si>
    <t>b7286f</t>
  </si>
  <si>
    <t>45512d</t>
  </si>
  <si>
    <t>edac38</t>
  </si>
  <si>
    <t>4572a3</t>
  </si>
  <si>
    <t>896c2a</t>
  </si>
  <si>
    <t>308de6</t>
  </si>
  <si>
    <t>4fc1b2</t>
  </si>
  <si>
    <t>a7fecb</t>
  </si>
  <si>
    <t>8564bb</t>
  </si>
  <si>
    <t>11ea6f</t>
  </si>
  <si>
    <t>cca40f</t>
  </si>
  <si>
    <t>f97b6d</t>
  </si>
  <si>
    <t>69a3d2</t>
  </si>
  <si>
    <t>bdfb7d</t>
  </si>
  <si>
    <t>30f1c0</t>
  </si>
  <si>
    <t>390df2</t>
  </si>
  <si>
    <t>e0844a</t>
  </si>
  <si>
    <t>0a0062</t>
  </si>
  <si>
    <t>886ef2</t>
  </si>
  <si>
    <t>2ef46d</t>
  </si>
  <si>
    <t>52d20e</t>
  </si>
  <si>
    <t>3952a0</t>
  </si>
  <si>
    <t>ed2257</t>
  </si>
  <si>
    <t>02c389</t>
  </si>
  <si>
    <t>a937e8</t>
  </si>
  <si>
    <t>aabcfb</t>
  </si>
  <si>
    <t>5f8870</t>
  </si>
  <si>
    <t>e207f7</t>
  </si>
  <si>
    <t>9154f0</t>
  </si>
  <si>
    <t>e24a3a</t>
  </si>
  <si>
    <t>8c62ba</t>
  </si>
  <si>
    <t>835bbe</t>
  </si>
  <si>
    <t>4fe9ba</t>
  </si>
  <si>
    <t>e2c5f7</t>
  </si>
  <si>
    <t>8f66c3</t>
  </si>
  <si>
    <t>9871ea</t>
  </si>
  <si>
    <t>b27f2a</t>
  </si>
  <si>
    <t>e88818</t>
  </si>
  <si>
    <t>eae379</t>
  </si>
  <si>
    <t>8937eb</t>
  </si>
  <si>
    <t>718bb4</t>
  </si>
  <si>
    <t>6f3721</t>
  </si>
  <si>
    <t>366c89</t>
  </si>
  <si>
    <t>a304b6</t>
  </si>
  <si>
    <t>32d8f2</t>
  </si>
  <si>
    <t>2f0b42</t>
  </si>
  <si>
    <t>c0929c</t>
  </si>
  <si>
    <t>86196b</t>
  </si>
  <si>
    <t>e621c9</t>
  </si>
  <si>
    <t>bb77b1</t>
  </si>
  <si>
    <t>c405b3</t>
  </si>
  <si>
    <t>1490b8</t>
  </si>
  <si>
    <t>cc5ed4</t>
  </si>
  <si>
    <t>ebc2d2</t>
  </si>
  <si>
    <t>7d3d63</t>
  </si>
  <si>
    <t>6ebca9</t>
  </si>
  <si>
    <t>48d526</t>
  </si>
  <si>
    <t>716abd</t>
  </si>
  <si>
    <t>fa0c0c</t>
  </si>
  <si>
    <t>c15780</t>
  </si>
  <si>
    <t>e17280</t>
  </si>
  <si>
    <t>388a78</t>
  </si>
  <si>
    <t>e116d8</t>
  </si>
  <si>
    <t>9cf38e</t>
  </si>
  <si>
    <t>e97ac0</t>
  </si>
  <si>
    <t>02fe6a</t>
  </si>
  <si>
    <t>a34aa4</t>
  </si>
  <si>
    <t>7f1521</t>
  </si>
  <si>
    <t>8d14e2</t>
  </si>
  <si>
    <t>7a22bc</t>
  </si>
  <si>
    <t>32c24e</t>
  </si>
  <si>
    <t>acaff0</t>
  </si>
  <si>
    <t>b91c31</t>
  </si>
  <si>
    <t>05e55f</t>
  </si>
  <si>
    <t>108d5a</t>
  </si>
  <si>
    <t>160abb</t>
  </si>
  <si>
    <t>fea4be</t>
  </si>
  <si>
    <t>d33301</t>
  </si>
  <si>
    <t>4cefe1</t>
  </si>
  <si>
    <t>34395c</t>
  </si>
  <si>
    <t>90b5b0</t>
  </si>
  <si>
    <t>6e79d3</t>
  </si>
  <si>
    <t>79bfae</t>
  </si>
  <si>
    <t>5202ed</t>
  </si>
  <si>
    <t>e31e72</t>
  </si>
  <si>
    <t>3131b7</t>
  </si>
  <si>
    <t>d134e0</t>
  </si>
  <si>
    <t>605f5e</t>
  </si>
  <si>
    <t>d622c3</t>
  </si>
  <si>
    <t>fc3573</t>
  </si>
  <si>
    <t>d4b484</t>
  </si>
  <si>
    <t>9c5d5a</t>
  </si>
  <si>
    <t>91fec3</t>
  </si>
  <si>
    <t>66c422</t>
  </si>
  <si>
    <t>0e888c</t>
  </si>
  <si>
    <t>fe72b2</t>
  </si>
  <si>
    <t>baecfe</t>
  </si>
  <si>
    <t>261bd6</t>
  </si>
  <si>
    <t>85e08f</t>
  </si>
  <si>
    <t>73564c</t>
  </si>
  <si>
    <t>316f12</t>
  </si>
  <si>
    <t>eb3ac8</t>
  </si>
  <si>
    <t>292d0a</t>
  </si>
  <si>
    <t>d4fced</t>
  </si>
  <si>
    <t>da3d1d</t>
  </si>
  <si>
    <t>73f158</t>
  </si>
  <si>
    <t>b8c7c8</t>
  </si>
  <si>
    <t>141aea</t>
  </si>
  <si>
    <t>42ba27</t>
  </si>
  <si>
    <t>870b25</t>
  </si>
  <si>
    <t>e3929b</t>
  </si>
  <si>
    <t>6562df</t>
  </si>
  <si>
    <t>fe94ae</t>
  </si>
  <si>
    <t>66b7cc</t>
  </si>
  <si>
    <t>3d7dc9</t>
  </si>
  <si>
    <t>1d8f76</t>
  </si>
  <si>
    <t>4e7ca5</t>
  </si>
  <si>
    <t>1bb04d</t>
  </si>
  <si>
    <t>536fbf</t>
  </si>
  <si>
    <t>b68b77</t>
  </si>
  <si>
    <t>021d48</t>
  </si>
  <si>
    <t>a386d9</t>
  </si>
  <si>
    <t>b46d32</t>
  </si>
  <si>
    <t>3af058</t>
  </si>
  <si>
    <t>0efde2</t>
  </si>
  <si>
    <t>80be79</t>
  </si>
  <si>
    <t>879d9a</t>
  </si>
  <si>
    <t>742ad5</t>
  </si>
  <si>
    <t>b2270b</t>
  </si>
  <si>
    <t>2e0f86</t>
  </si>
  <si>
    <t>d85264</t>
  </si>
  <si>
    <t>34e00a</t>
  </si>
  <si>
    <t>e918c8</t>
  </si>
  <si>
    <t>05d8e7</t>
  </si>
  <si>
    <t>a0da88</t>
  </si>
  <si>
    <t>4c7359</t>
  </si>
  <si>
    <t>f30579</t>
  </si>
  <si>
    <t>bed4b4</t>
  </si>
  <si>
    <t>c8035e</t>
  </si>
  <si>
    <t>8819fd</t>
  </si>
  <si>
    <t>6639a5</t>
  </si>
  <si>
    <t>dc23bb</t>
  </si>
  <si>
    <t>df4373</t>
  </si>
  <si>
    <t>7c09bf</t>
  </si>
  <si>
    <t>8f512d</t>
  </si>
  <si>
    <t>eb5927</t>
  </si>
  <si>
    <t>87bb82</t>
  </si>
  <si>
    <t>26e506</t>
  </si>
  <si>
    <t>fe4a15</t>
  </si>
  <si>
    <t>30c488</t>
  </si>
  <si>
    <t>dabee8</t>
  </si>
  <si>
    <t>ba86f4</t>
  </si>
  <si>
    <t>4236be</t>
  </si>
  <si>
    <t>c43947</t>
  </si>
  <si>
    <t>a617b5</t>
  </si>
  <si>
    <t>d04921</t>
  </si>
  <si>
    <t>e60b61</t>
  </si>
  <si>
    <t>c9fa13</t>
  </si>
  <si>
    <t>7bb8ed</t>
  </si>
  <si>
    <t>20eb36</t>
  </si>
  <si>
    <t>166ffe</t>
  </si>
  <si>
    <t>4dcb0e</t>
  </si>
  <si>
    <t>f304a8</t>
  </si>
  <si>
    <t>9b5299</t>
  </si>
  <si>
    <t>1130ea</t>
  </si>
  <si>
    <t>0a2689</t>
  </si>
  <si>
    <t>03b653</t>
  </si>
  <si>
    <t>46d796</t>
  </si>
  <si>
    <t>d62a10</t>
  </si>
  <si>
    <t>380c68</t>
  </si>
  <si>
    <t>35418e</t>
  </si>
  <si>
    <t>5f2bb8</t>
  </si>
  <si>
    <t>c25b15</t>
  </si>
  <si>
    <t>4f560f</t>
  </si>
  <si>
    <t>0a8543</t>
  </si>
  <si>
    <t>3edc10</t>
  </si>
  <si>
    <t>59effd</t>
  </si>
  <si>
    <t>3b4a4f</t>
  </si>
  <si>
    <t>0ffbbc</t>
  </si>
  <si>
    <t>08086d</t>
  </si>
  <si>
    <t>c5ba9b</t>
  </si>
  <si>
    <t>d953a5</t>
  </si>
  <si>
    <t>be603f</t>
  </si>
  <si>
    <t>a02f06</t>
  </si>
  <si>
    <t>955fa6</t>
  </si>
  <si>
    <t>a42141</t>
  </si>
  <si>
    <t>e716e7</t>
  </si>
  <si>
    <t>4b515c</t>
  </si>
  <si>
    <t>9a1d69</t>
  </si>
  <si>
    <t>79d01b</t>
  </si>
  <si>
    <t>8b729b</t>
  </si>
  <si>
    <t>136c14</t>
  </si>
  <si>
    <t>94cacb</t>
  </si>
  <si>
    <t>5ce72d</t>
  </si>
  <si>
    <t>c873b4</t>
  </si>
  <si>
    <t>b9b7dd</t>
  </si>
  <si>
    <t>fb2c04</t>
  </si>
  <si>
    <t>04f19c</t>
  </si>
  <si>
    <t>3bcf8b</t>
  </si>
  <si>
    <t>b78a4f</t>
  </si>
  <si>
    <t>1b1cf1</t>
  </si>
  <si>
    <t>dc07e1</t>
  </si>
  <si>
    <t>b92097</t>
  </si>
  <si>
    <t>ffb109</t>
  </si>
  <si>
    <t>a0017b</t>
  </si>
  <si>
    <t>ac0db6</t>
  </si>
  <si>
    <t>1e8961</t>
  </si>
  <si>
    <t>f957f1</t>
  </si>
  <si>
    <t>a9ae21</t>
  </si>
  <si>
    <t>e5d28d</t>
  </si>
  <si>
    <t>4d22d1</t>
  </si>
  <si>
    <t>city</t>
  </si>
  <si>
    <t>Trivandrum</t>
  </si>
  <si>
    <t>Madurai</t>
  </si>
  <si>
    <t>Hyderabad</t>
  </si>
  <si>
    <t>Visakhapatnam</t>
  </si>
  <si>
    <t>Coimbatore</t>
  </si>
  <si>
    <t>Bengaluru</t>
  </si>
  <si>
    <t>Chennai</t>
  </si>
  <si>
    <t>Vijayawada</t>
  </si>
  <si>
    <t>Mysuru</t>
  </si>
  <si>
    <t>Mangalore</t>
  </si>
  <si>
    <t>product_name</t>
  </si>
  <si>
    <t>category</t>
  </si>
  <si>
    <t>Atliq_Masoor_Dal (1KG)</t>
  </si>
  <si>
    <t>Grocery &amp; Staples</t>
  </si>
  <si>
    <t>Atliq_Sonamasuri_Rice (10KG)</t>
  </si>
  <si>
    <t>Atliq_Suflower_Oil (1L)</t>
  </si>
  <si>
    <t>Atliq_Farm_Chakki_Atta (1KG)</t>
  </si>
  <si>
    <t>Atliq_Scrub_Sponge_For_Dishwash</t>
  </si>
  <si>
    <t>Home Care</t>
  </si>
  <si>
    <t>Atliq_Fusion_Container_Set_of_3</t>
  </si>
  <si>
    <t>Atliq_Body_Milk_Nourishing_Lotion (120ML)</t>
  </si>
  <si>
    <t>Personal Care</t>
  </si>
  <si>
    <t>Atliq_Cream_Beauty_Bathing_Soap (125GM)</t>
  </si>
  <si>
    <t>Atliq_High_Glo_15W_LED_Bulb</t>
  </si>
  <si>
    <t>Home Appliances</t>
  </si>
  <si>
    <t>Atliq_waterproof_Immersion_Rod</t>
  </si>
  <si>
    <t>Atliq_Doodh_Kesar_Body_Lotion (200ML)</t>
  </si>
  <si>
    <t>Atliq_Lime_Cool_Bathing_Bar (125GM)</t>
  </si>
  <si>
    <t>Atliq_Curtains</t>
  </si>
  <si>
    <t>Atliq_Double_Bedsheet_set</t>
  </si>
  <si>
    <t>Atliq_Home_Essential_8_Product_Combo</t>
  </si>
  <si>
    <t>Combo1</t>
  </si>
  <si>
    <t>campaign_name</t>
  </si>
  <si>
    <t>start_date</t>
  </si>
  <si>
    <t>end_date</t>
  </si>
  <si>
    <t>Diwali</t>
  </si>
  <si>
    <t>18-11-2023</t>
  </si>
  <si>
    <t>Sankranti</t>
  </si>
  <si>
    <t>16-01-2024</t>
  </si>
  <si>
    <t>Campaign_Name</t>
  </si>
  <si>
    <t>Total Sales Amount</t>
  </si>
  <si>
    <t>Total Quantity</t>
  </si>
  <si>
    <t>Promo Impact (%)</t>
  </si>
  <si>
    <t>City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</si>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</sst>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D96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3" fillId="3" borderId="0" xfId="0" applyFont="1" applyFill="1" applyAlignment="1">
      <alignment horizontal="center" vertical="center"/>
    </xf>
    <xf numFmtId="9" fontId="0" fillId="0" borderId="0" xfId="1" applyFont="1"/>
    <xf numFmtId="0" fontId="3" fillId="4" borderId="0" xfId="0" applyFont="1" applyFill="1" applyAlignment="1">
      <alignment horizontal="center" vertic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0267-8A17-4787-AEC6-5374D5913F7C}">
  <dimension ref="A1:L1501"/>
  <sheetViews>
    <sheetView topLeftCell="D1" workbookViewId="0">
      <selection activeCell="P5" sqref="P5"/>
    </sheetView>
  </sheetViews>
  <sheetFormatPr defaultRowHeight="14.4" x14ac:dyDescent="0.3"/>
  <cols>
    <col min="1" max="1" width="10.5546875" bestFit="1" customWidth="1"/>
    <col min="2" max="2" width="10" bestFit="1" customWidth="1"/>
    <col min="3" max="3" width="14" bestFit="1" customWidth="1"/>
    <col min="4" max="4" width="15" bestFit="1" customWidth="1"/>
    <col min="5" max="5" width="12.21875" bestFit="1" customWidth="1"/>
    <col min="6" max="6" width="13.6640625" bestFit="1" customWidth="1"/>
    <col min="7" max="7" width="28.77734375" bestFit="1" customWidth="1"/>
    <col min="8" max="8" width="27.109375" bestFit="1" customWidth="1"/>
    <col min="9" max="9" width="17.77734375" bestFit="1" customWidth="1"/>
    <col min="10" max="10" width="16.33203125" bestFit="1" customWidth="1"/>
    <col min="11" max="11" width="20" bestFit="1" customWidth="1"/>
    <col min="12" max="12" width="13.5546875" bestFit="1" customWidth="1"/>
    <col min="16" max="16" width="12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1521</v>
      </c>
      <c r="J1" s="5" t="s">
        <v>1524</v>
      </c>
      <c r="K1" s="7" t="s">
        <v>1526</v>
      </c>
      <c r="L1" s="7" t="s">
        <v>1525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>
        <v>190</v>
      </c>
      <c r="F2" t="s">
        <v>12</v>
      </c>
      <c r="G2">
        <v>34</v>
      </c>
      <c r="H2">
        <v>52</v>
      </c>
      <c r="I2" t="str">
        <f>_xlfn.XLOOKUP($C2,dim_campaigns!$D$2:$D$3,dim_campaigns!$A$2:$A$3,"",0)</f>
        <v>Sankranti</v>
      </c>
      <c r="J2" s="6">
        <f>IFERROR((H2-G2)/G2,0)</f>
        <v>0.52941176470588236</v>
      </c>
      <c r="K2">
        <f>E2*G2+(E2-IF(F2="500 Cashback",500,IF(F2="BOGOF",E2*50%,IF(F2="25% OFF",E2*25%,IF(F2="33% OFF",E2*33%,IF(F2="50% OFF",E2*50%,0))))))*H2</f>
        <v>11400</v>
      </c>
      <c r="L2" t="str">
        <f>VLOOKUP($B2,dim_stores!$A$1:$C$51,2,0)</f>
        <v>Coimbatore</v>
      </c>
    </row>
    <row r="3" spans="1:12" x14ac:dyDescent="0.3">
      <c r="A3" t="s">
        <v>13</v>
      </c>
      <c r="B3" t="s">
        <v>14</v>
      </c>
      <c r="C3" t="s">
        <v>15</v>
      </c>
      <c r="D3" t="s">
        <v>16</v>
      </c>
      <c r="E3">
        <v>156</v>
      </c>
      <c r="F3" t="s">
        <v>17</v>
      </c>
      <c r="G3">
        <v>393</v>
      </c>
      <c r="H3">
        <v>322</v>
      </c>
      <c r="I3" t="str">
        <f>_xlfn.XLOOKUP($C3,dim_campaigns!$D$2:$D$3,dim_campaigns!$A$2:$A$3,"",0)</f>
        <v>Diwali</v>
      </c>
      <c r="J3" s="6">
        <f t="shared" ref="J3:J66" si="0">IFERROR((H3-G3)/G3,0)</f>
        <v>-0.1806615776081425</v>
      </c>
      <c r="K3">
        <f t="shared" ref="K3:K66" si="1">E3*G3+(E3-IF(F3="500 Cashback",500,IF(F3="BOGOF",E3*50%,IF(F3="25% OFF",E3*25%,IF(F3="33% OFF",E3*33%,IF(F3="50% OFF",E3*50%,0))))))*H3</f>
        <v>98982</v>
      </c>
      <c r="L3" t="str">
        <f>VLOOKUP($B3,dim_stores!$A$1:$C$51,2,0)</f>
        <v>Bengaluru</v>
      </c>
    </row>
    <row r="4" spans="1:12" x14ac:dyDescent="0.3">
      <c r="A4" t="s">
        <v>18</v>
      </c>
      <c r="B4" t="s">
        <v>19</v>
      </c>
      <c r="C4" t="s">
        <v>10</v>
      </c>
      <c r="D4" t="s">
        <v>20</v>
      </c>
      <c r="E4">
        <v>300</v>
      </c>
      <c r="F4" t="s">
        <v>21</v>
      </c>
      <c r="G4">
        <v>22</v>
      </c>
      <c r="H4">
        <v>85</v>
      </c>
      <c r="I4" t="str">
        <f>_xlfn.XLOOKUP($C4,dim_campaigns!$D$2:$D$3,dim_campaigns!$A$2:$A$3,"",0)</f>
        <v>Sankranti</v>
      </c>
      <c r="J4" s="6">
        <f t="shared" si="0"/>
        <v>2.8636363636363638</v>
      </c>
      <c r="K4">
        <f t="shared" si="1"/>
        <v>19350</v>
      </c>
      <c r="L4" t="str">
        <f>VLOOKUP($B4,dim_stores!$A$1:$C$51,2,0)</f>
        <v>Vijayawada</v>
      </c>
    </row>
    <row r="5" spans="1:12" x14ac:dyDescent="0.3">
      <c r="A5" t="s">
        <v>22</v>
      </c>
      <c r="B5" t="s">
        <v>23</v>
      </c>
      <c r="C5" t="s">
        <v>15</v>
      </c>
      <c r="D5" t="s">
        <v>24</v>
      </c>
      <c r="E5">
        <v>3000</v>
      </c>
      <c r="F5" t="s">
        <v>25</v>
      </c>
      <c r="G5">
        <v>329</v>
      </c>
      <c r="H5">
        <v>1000</v>
      </c>
      <c r="I5" t="str">
        <f>_xlfn.XLOOKUP($C5,dim_campaigns!$D$2:$D$3,dim_campaigns!$A$2:$A$3,"",0)</f>
        <v>Diwali</v>
      </c>
      <c r="J5" s="6">
        <f t="shared" si="0"/>
        <v>2.0395136778115504</v>
      </c>
      <c r="K5">
        <f t="shared" si="1"/>
        <v>3487000</v>
      </c>
      <c r="L5" t="str">
        <f>VLOOKUP($B5,dim_stores!$A$1:$C$51,2,0)</f>
        <v>Coimbatore</v>
      </c>
    </row>
    <row r="6" spans="1:12" x14ac:dyDescent="0.3">
      <c r="A6" t="s">
        <v>26</v>
      </c>
      <c r="B6" t="s">
        <v>27</v>
      </c>
      <c r="C6" t="s">
        <v>15</v>
      </c>
      <c r="D6" t="s">
        <v>28</v>
      </c>
      <c r="E6">
        <v>55</v>
      </c>
      <c r="F6" t="s">
        <v>17</v>
      </c>
      <c r="G6">
        <v>108</v>
      </c>
      <c r="H6">
        <v>93</v>
      </c>
      <c r="I6" t="str">
        <f>_xlfn.XLOOKUP($C6,dim_campaigns!$D$2:$D$3,dim_campaigns!$A$2:$A$3,"",0)</f>
        <v>Diwali</v>
      </c>
      <c r="J6" s="6">
        <f t="shared" si="0"/>
        <v>-0.1388888888888889</v>
      </c>
      <c r="K6">
        <f t="shared" si="1"/>
        <v>9776.25</v>
      </c>
      <c r="L6" t="str">
        <f>VLOOKUP($B6,dim_stores!$A$1:$C$51,2,0)</f>
        <v>Bengaluru</v>
      </c>
    </row>
    <row r="7" spans="1:12" x14ac:dyDescent="0.3">
      <c r="A7" s="1">
        <v>8.0200000000000004E+96</v>
      </c>
      <c r="B7" t="s">
        <v>29</v>
      </c>
      <c r="C7" t="s">
        <v>15</v>
      </c>
      <c r="D7" t="s">
        <v>11</v>
      </c>
      <c r="E7">
        <v>190</v>
      </c>
      <c r="F7" t="s">
        <v>12</v>
      </c>
      <c r="G7">
        <v>91</v>
      </c>
      <c r="H7">
        <v>116</v>
      </c>
      <c r="I7" t="str">
        <f>_xlfn.XLOOKUP($C7,dim_campaigns!$D$2:$D$3,dim_campaigns!$A$2:$A$3,"",0)</f>
        <v>Diwali</v>
      </c>
      <c r="J7" s="6">
        <f t="shared" si="0"/>
        <v>0.27472527472527475</v>
      </c>
      <c r="K7">
        <f t="shared" si="1"/>
        <v>28310</v>
      </c>
      <c r="L7" t="str">
        <f>VLOOKUP($B7,dim_stores!$A$1:$C$51,2,0)</f>
        <v>Bengaluru</v>
      </c>
    </row>
    <row r="8" spans="1:12" x14ac:dyDescent="0.3">
      <c r="A8" t="s">
        <v>30</v>
      </c>
      <c r="B8" t="s">
        <v>31</v>
      </c>
      <c r="C8" t="s">
        <v>10</v>
      </c>
      <c r="D8" t="s">
        <v>32</v>
      </c>
      <c r="E8">
        <v>50</v>
      </c>
      <c r="F8" t="s">
        <v>17</v>
      </c>
      <c r="G8">
        <v>31</v>
      </c>
      <c r="H8">
        <v>26</v>
      </c>
      <c r="I8" t="str">
        <f>_xlfn.XLOOKUP($C8,dim_campaigns!$D$2:$D$3,dim_campaigns!$A$2:$A$3,"",0)</f>
        <v>Sankranti</v>
      </c>
      <c r="J8" s="6">
        <f t="shared" si="0"/>
        <v>-0.16129032258064516</v>
      </c>
      <c r="K8">
        <f t="shared" si="1"/>
        <v>2525</v>
      </c>
      <c r="L8" t="str">
        <f>VLOOKUP($B8,dim_stores!$A$1:$C$51,2,0)</f>
        <v>Visakhapatnam</v>
      </c>
    </row>
    <row r="9" spans="1:12" x14ac:dyDescent="0.3">
      <c r="A9" t="s">
        <v>33</v>
      </c>
      <c r="B9" t="s">
        <v>34</v>
      </c>
      <c r="C9" t="s">
        <v>15</v>
      </c>
      <c r="D9" t="s">
        <v>35</v>
      </c>
      <c r="E9">
        <v>350</v>
      </c>
      <c r="F9" t="s">
        <v>21</v>
      </c>
      <c r="G9">
        <v>73</v>
      </c>
      <c r="H9">
        <v>245</v>
      </c>
      <c r="I9" t="str">
        <f>_xlfn.XLOOKUP($C9,dim_campaigns!$D$2:$D$3,dim_campaigns!$A$2:$A$3,"",0)</f>
        <v>Diwali</v>
      </c>
      <c r="J9" s="6">
        <f t="shared" si="0"/>
        <v>2.3561643835616439</v>
      </c>
      <c r="K9">
        <f t="shared" si="1"/>
        <v>68425</v>
      </c>
      <c r="L9" t="str">
        <f>VLOOKUP($B9,dim_stores!$A$1:$C$51,2,0)</f>
        <v>Hyderabad</v>
      </c>
    </row>
    <row r="10" spans="1:12" x14ac:dyDescent="0.3">
      <c r="A10" t="s">
        <v>36</v>
      </c>
      <c r="B10" t="s">
        <v>37</v>
      </c>
      <c r="C10" t="s">
        <v>10</v>
      </c>
      <c r="D10" t="s">
        <v>38</v>
      </c>
      <c r="E10">
        <v>1190</v>
      </c>
      <c r="F10" t="s">
        <v>21</v>
      </c>
      <c r="G10">
        <v>30</v>
      </c>
      <c r="H10">
        <v>79</v>
      </c>
      <c r="I10" t="str">
        <f>_xlfn.XLOOKUP($C10,dim_campaigns!$D$2:$D$3,dim_campaigns!$A$2:$A$3,"",0)</f>
        <v>Sankranti</v>
      </c>
      <c r="J10" s="6">
        <f t="shared" si="0"/>
        <v>1.6333333333333333</v>
      </c>
      <c r="K10">
        <f t="shared" si="1"/>
        <v>82705</v>
      </c>
      <c r="L10" t="str">
        <f>VLOOKUP($B10,dim_stores!$A$1:$C$51,2,0)</f>
        <v>Coimbatore</v>
      </c>
    </row>
    <row r="11" spans="1:12" x14ac:dyDescent="0.3">
      <c r="A11" t="s">
        <v>39</v>
      </c>
      <c r="B11" t="s">
        <v>40</v>
      </c>
      <c r="C11" t="s">
        <v>10</v>
      </c>
      <c r="D11" t="s">
        <v>16</v>
      </c>
      <c r="E11">
        <v>200</v>
      </c>
      <c r="F11" t="s">
        <v>21</v>
      </c>
      <c r="G11">
        <v>318</v>
      </c>
      <c r="H11">
        <v>1265</v>
      </c>
      <c r="I11" t="str">
        <f>_xlfn.XLOOKUP($C11,dim_campaigns!$D$2:$D$3,dim_campaigns!$A$2:$A$3,"",0)</f>
        <v>Sankranti</v>
      </c>
      <c r="J11" s="6">
        <f t="shared" si="0"/>
        <v>2.9779874213836477</v>
      </c>
      <c r="K11">
        <f t="shared" si="1"/>
        <v>190100</v>
      </c>
      <c r="L11" t="str">
        <f>VLOOKUP($B11,dim_stores!$A$1:$C$51,2,0)</f>
        <v>Madurai</v>
      </c>
    </row>
    <row r="12" spans="1:12" x14ac:dyDescent="0.3">
      <c r="A12" t="s">
        <v>41</v>
      </c>
      <c r="B12" t="s">
        <v>42</v>
      </c>
      <c r="C12" t="s">
        <v>15</v>
      </c>
      <c r="D12" t="s">
        <v>43</v>
      </c>
      <c r="E12">
        <v>415</v>
      </c>
      <c r="F12" t="s">
        <v>17</v>
      </c>
      <c r="G12">
        <v>78</v>
      </c>
      <c r="H12">
        <v>70</v>
      </c>
      <c r="I12" t="str">
        <f>_xlfn.XLOOKUP($C12,dim_campaigns!$D$2:$D$3,dim_campaigns!$A$2:$A$3,"",0)</f>
        <v>Diwali</v>
      </c>
      <c r="J12" s="6">
        <f t="shared" si="0"/>
        <v>-0.10256410256410256</v>
      </c>
      <c r="K12">
        <f t="shared" si="1"/>
        <v>54157.5</v>
      </c>
      <c r="L12" t="str">
        <f>VLOOKUP($B12,dim_stores!$A$1:$C$51,2,0)</f>
        <v>Mysuru</v>
      </c>
    </row>
    <row r="13" spans="1:12" x14ac:dyDescent="0.3">
      <c r="A13" t="s">
        <v>44</v>
      </c>
      <c r="B13" t="s">
        <v>45</v>
      </c>
      <c r="C13" t="s">
        <v>10</v>
      </c>
      <c r="D13" t="s">
        <v>24</v>
      </c>
      <c r="E13">
        <v>3000</v>
      </c>
      <c r="F13" t="s">
        <v>25</v>
      </c>
      <c r="G13">
        <v>126</v>
      </c>
      <c r="H13">
        <v>302</v>
      </c>
      <c r="I13" t="str">
        <f>_xlfn.XLOOKUP($C13,dim_campaigns!$D$2:$D$3,dim_campaigns!$A$2:$A$3,"",0)</f>
        <v>Sankranti</v>
      </c>
      <c r="J13" s="6">
        <f t="shared" si="0"/>
        <v>1.3968253968253967</v>
      </c>
      <c r="K13">
        <f t="shared" si="1"/>
        <v>1133000</v>
      </c>
      <c r="L13" t="str">
        <f>VLOOKUP($B13,dim_stores!$A$1:$C$51,2,0)</f>
        <v>Hyderabad</v>
      </c>
    </row>
    <row r="14" spans="1:12" x14ac:dyDescent="0.3">
      <c r="A14" t="s">
        <v>46</v>
      </c>
      <c r="B14" t="s">
        <v>47</v>
      </c>
      <c r="C14" t="s">
        <v>15</v>
      </c>
      <c r="D14" t="s">
        <v>48</v>
      </c>
      <c r="E14">
        <v>62</v>
      </c>
      <c r="F14" t="s">
        <v>12</v>
      </c>
      <c r="G14">
        <v>154</v>
      </c>
      <c r="H14">
        <v>207</v>
      </c>
      <c r="I14" t="str">
        <f>_xlfn.XLOOKUP($C14,dim_campaigns!$D$2:$D$3,dim_campaigns!$A$2:$A$3,"",0)</f>
        <v>Diwali</v>
      </c>
      <c r="J14" s="6">
        <f t="shared" si="0"/>
        <v>0.34415584415584416</v>
      </c>
      <c r="K14">
        <f t="shared" si="1"/>
        <v>15965</v>
      </c>
      <c r="L14" t="str">
        <f>VLOOKUP($B14,dim_stores!$A$1:$C$51,2,0)</f>
        <v>Chennai</v>
      </c>
    </row>
    <row r="15" spans="1:12" x14ac:dyDescent="0.3">
      <c r="A15" t="s">
        <v>49</v>
      </c>
      <c r="B15" t="s">
        <v>50</v>
      </c>
      <c r="C15" t="s">
        <v>15</v>
      </c>
      <c r="D15" t="s">
        <v>51</v>
      </c>
      <c r="E15">
        <v>290</v>
      </c>
      <c r="F15" t="s">
        <v>17</v>
      </c>
      <c r="G15">
        <v>343</v>
      </c>
      <c r="H15">
        <v>270</v>
      </c>
      <c r="I15" t="str">
        <f>_xlfn.XLOOKUP($C15,dim_campaigns!$D$2:$D$3,dim_campaigns!$A$2:$A$3,"",0)</f>
        <v>Diwali</v>
      </c>
      <c r="J15" s="6">
        <f t="shared" si="0"/>
        <v>-0.21282798833819241</v>
      </c>
      <c r="K15">
        <f t="shared" si="1"/>
        <v>158195</v>
      </c>
      <c r="L15" t="str">
        <f>VLOOKUP($B15,dim_stores!$A$1:$C$51,2,0)</f>
        <v>Bengaluru</v>
      </c>
    </row>
    <row r="16" spans="1:12" x14ac:dyDescent="0.3">
      <c r="A16">
        <v>635862</v>
      </c>
      <c r="B16" t="s">
        <v>52</v>
      </c>
      <c r="C16" t="s">
        <v>10</v>
      </c>
      <c r="D16" t="s">
        <v>53</v>
      </c>
      <c r="E16">
        <v>860</v>
      </c>
      <c r="F16" t="s">
        <v>54</v>
      </c>
      <c r="G16">
        <v>348</v>
      </c>
      <c r="H16">
        <v>480</v>
      </c>
      <c r="I16" t="str">
        <f>_xlfn.XLOOKUP($C16,dim_campaigns!$D$2:$D$3,dim_campaigns!$A$2:$A$3,"",0)</f>
        <v>Sankranti</v>
      </c>
      <c r="J16" s="6">
        <f t="shared" si="0"/>
        <v>0.37931034482758619</v>
      </c>
      <c r="K16">
        <f t="shared" si="1"/>
        <v>575856</v>
      </c>
      <c r="L16" t="str">
        <f>VLOOKUP($B16,dim_stores!$A$1:$C$51,2,0)</f>
        <v>Visakhapatnam</v>
      </c>
    </row>
    <row r="17" spans="1:12" x14ac:dyDescent="0.3">
      <c r="A17" t="s">
        <v>55</v>
      </c>
      <c r="B17" t="s">
        <v>56</v>
      </c>
      <c r="C17" t="s">
        <v>10</v>
      </c>
      <c r="D17" t="s">
        <v>20</v>
      </c>
      <c r="E17">
        <v>300</v>
      </c>
      <c r="F17" t="s">
        <v>21</v>
      </c>
      <c r="G17">
        <v>43</v>
      </c>
      <c r="H17">
        <v>167</v>
      </c>
      <c r="I17" t="str">
        <f>_xlfn.XLOOKUP($C17,dim_campaigns!$D$2:$D$3,dim_campaigns!$A$2:$A$3,"",0)</f>
        <v>Sankranti</v>
      </c>
      <c r="J17" s="6">
        <f t="shared" si="0"/>
        <v>2.8837209302325579</v>
      </c>
      <c r="K17">
        <f t="shared" si="1"/>
        <v>37950</v>
      </c>
      <c r="L17" t="str">
        <f>VLOOKUP($B17,dim_stores!$A$1:$C$51,2,0)</f>
        <v>Chennai</v>
      </c>
    </row>
    <row r="18" spans="1:12" x14ac:dyDescent="0.3">
      <c r="A18" t="s">
        <v>57</v>
      </c>
      <c r="B18" t="s">
        <v>58</v>
      </c>
      <c r="C18" t="s">
        <v>10</v>
      </c>
      <c r="D18" t="s">
        <v>43</v>
      </c>
      <c r="E18">
        <v>415</v>
      </c>
      <c r="F18" t="s">
        <v>17</v>
      </c>
      <c r="G18">
        <v>39</v>
      </c>
      <c r="H18">
        <v>33</v>
      </c>
      <c r="I18" t="str">
        <f>_xlfn.XLOOKUP($C18,dim_campaigns!$D$2:$D$3,dim_campaigns!$A$2:$A$3,"",0)</f>
        <v>Sankranti</v>
      </c>
      <c r="J18" s="6">
        <f t="shared" si="0"/>
        <v>-0.15384615384615385</v>
      </c>
      <c r="K18">
        <f t="shared" si="1"/>
        <v>26456.25</v>
      </c>
      <c r="L18" t="str">
        <f>VLOOKUP($B18,dim_stores!$A$1:$C$51,2,0)</f>
        <v>Chennai</v>
      </c>
    </row>
    <row r="19" spans="1:12" x14ac:dyDescent="0.3">
      <c r="A19" t="s">
        <v>59</v>
      </c>
      <c r="B19" t="s">
        <v>60</v>
      </c>
      <c r="C19" t="s">
        <v>15</v>
      </c>
      <c r="D19" t="s">
        <v>61</v>
      </c>
      <c r="E19">
        <v>172</v>
      </c>
      <c r="F19" t="s">
        <v>54</v>
      </c>
      <c r="G19">
        <v>164</v>
      </c>
      <c r="H19">
        <v>236</v>
      </c>
      <c r="I19" t="str">
        <f>_xlfn.XLOOKUP($C19,dim_campaigns!$D$2:$D$3,dim_campaigns!$A$2:$A$3,"",0)</f>
        <v>Diwali</v>
      </c>
      <c r="J19" s="6">
        <f t="shared" si="0"/>
        <v>0.43902439024390244</v>
      </c>
      <c r="K19">
        <f t="shared" si="1"/>
        <v>55404.639999999999</v>
      </c>
      <c r="L19" t="str">
        <f>VLOOKUP($B19,dim_stores!$A$1:$C$51,2,0)</f>
        <v>Trivandrum</v>
      </c>
    </row>
    <row r="20" spans="1:12" x14ac:dyDescent="0.3">
      <c r="A20" t="s">
        <v>62</v>
      </c>
      <c r="B20" t="s">
        <v>63</v>
      </c>
      <c r="C20" t="s">
        <v>10</v>
      </c>
      <c r="D20" t="s">
        <v>43</v>
      </c>
      <c r="E20">
        <v>415</v>
      </c>
      <c r="F20" t="s">
        <v>17</v>
      </c>
      <c r="G20">
        <v>22</v>
      </c>
      <c r="H20">
        <v>16</v>
      </c>
      <c r="I20" t="str">
        <f>_xlfn.XLOOKUP($C20,dim_campaigns!$D$2:$D$3,dim_campaigns!$A$2:$A$3,"",0)</f>
        <v>Sankranti</v>
      </c>
      <c r="J20" s="6">
        <f t="shared" si="0"/>
        <v>-0.27272727272727271</v>
      </c>
      <c r="K20">
        <f t="shared" si="1"/>
        <v>14110</v>
      </c>
      <c r="L20" t="str">
        <f>VLOOKUP($B20,dim_stores!$A$1:$C$51,2,0)</f>
        <v>Visakhapatnam</v>
      </c>
    </row>
    <row r="21" spans="1:12" x14ac:dyDescent="0.3">
      <c r="A21" t="s">
        <v>64</v>
      </c>
      <c r="B21" t="s">
        <v>65</v>
      </c>
      <c r="C21" t="s">
        <v>10</v>
      </c>
      <c r="D21" t="s">
        <v>20</v>
      </c>
      <c r="E21">
        <v>300</v>
      </c>
      <c r="F21" t="s">
        <v>21</v>
      </c>
      <c r="G21">
        <v>55</v>
      </c>
      <c r="H21">
        <v>213</v>
      </c>
      <c r="I21" t="str">
        <f>_xlfn.XLOOKUP($C21,dim_campaigns!$D$2:$D$3,dim_campaigns!$A$2:$A$3,"",0)</f>
        <v>Sankranti</v>
      </c>
      <c r="J21" s="6">
        <f t="shared" si="0"/>
        <v>2.8727272727272726</v>
      </c>
      <c r="K21">
        <f t="shared" si="1"/>
        <v>48450</v>
      </c>
      <c r="L21" t="str">
        <f>VLOOKUP($B21,dim_stores!$A$1:$C$51,2,0)</f>
        <v>Hyderabad</v>
      </c>
    </row>
    <row r="22" spans="1:12" x14ac:dyDescent="0.3">
      <c r="A22" t="s">
        <v>66</v>
      </c>
      <c r="B22" t="s">
        <v>67</v>
      </c>
      <c r="C22" t="s">
        <v>15</v>
      </c>
      <c r="D22" t="s">
        <v>68</v>
      </c>
      <c r="E22">
        <v>1020</v>
      </c>
      <c r="F22" t="s">
        <v>21</v>
      </c>
      <c r="G22">
        <v>42</v>
      </c>
      <c r="H22">
        <v>168</v>
      </c>
      <c r="I22" t="str">
        <f>_xlfn.XLOOKUP($C22,dim_campaigns!$D$2:$D$3,dim_campaigns!$A$2:$A$3,"",0)</f>
        <v>Diwali</v>
      </c>
      <c r="J22" s="6">
        <f t="shared" si="0"/>
        <v>3</v>
      </c>
      <c r="K22">
        <f t="shared" si="1"/>
        <v>128520</v>
      </c>
      <c r="L22" t="str">
        <f>VLOOKUP($B22,dim_stores!$A$1:$C$51,2,0)</f>
        <v>Bengaluru</v>
      </c>
    </row>
    <row r="23" spans="1:12" x14ac:dyDescent="0.3">
      <c r="A23" t="s">
        <v>69</v>
      </c>
      <c r="B23" t="s">
        <v>70</v>
      </c>
      <c r="C23" t="s">
        <v>15</v>
      </c>
      <c r="D23" t="s">
        <v>35</v>
      </c>
      <c r="E23">
        <v>350</v>
      </c>
      <c r="F23" t="s">
        <v>21</v>
      </c>
      <c r="G23">
        <v>84</v>
      </c>
      <c r="H23">
        <v>338</v>
      </c>
      <c r="I23" t="str">
        <f>_xlfn.XLOOKUP($C23,dim_campaigns!$D$2:$D$3,dim_campaigns!$A$2:$A$3,"",0)</f>
        <v>Diwali</v>
      </c>
      <c r="J23" s="6">
        <f t="shared" si="0"/>
        <v>3.0238095238095237</v>
      </c>
      <c r="K23">
        <f t="shared" si="1"/>
        <v>88550</v>
      </c>
      <c r="L23" t="str">
        <f>VLOOKUP($B23,dim_stores!$A$1:$C$51,2,0)</f>
        <v>Chennai</v>
      </c>
    </row>
    <row r="24" spans="1:12" x14ac:dyDescent="0.3">
      <c r="A24" t="s">
        <v>71</v>
      </c>
      <c r="B24" t="s">
        <v>14</v>
      </c>
      <c r="C24" t="s">
        <v>15</v>
      </c>
      <c r="D24" t="s">
        <v>11</v>
      </c>
      <c r="E24">
        <v>190</v>
      </c>
      <c r="F24" t="s">
        <v>12</v>
      </c>
      <c r="G24">
        <v>66</v>
      </c>
      <c r="H24">
        <v>88</v>
      </c>
      <c r="I24" t="str">
        <f>_xlfn.XLOOKUP($C24,dim_campaigns!$D$2:$D$3,dim_campaigns!$A$2:$A$3,"",0)</f>
        <v>Diwali</v>
      </c>
      <c r="J24" s="6">
        <f t="shared" si="0"/>
        <v>0.33333333333333331</v>
      </c>
      <c r="K24">
        <f t="shared" si="1"/>
        <v>20900</v>
      </c>
      <c r="L24" t="str">
        <f>VLOOKUP($B24,dim_stores!$A$1:$C$51,2,0)</f>
        <v>Bengaluru</v>
      </c>
    </row>
    <row r="25" spans="1:12" x14ac:dyDescent="0.3">
      <c r="A25" t="s">
        <v>72</v>
      </c>
      <c r="B25" t="s">
        <v>42</v>
      </c>
      <c r="C25" t="s">
        <v>10</v>
      </c>
      <c r="D25" t="s">
        <v>61</v>
      </c>
      <c r="E25">
        <v>172</v>
      </c>
      <c r="F25" t="s">
        <v>54</v>
      </c>
      <c r="G25">
        <v>204</v>
      </c>
      <c r="H25">
        <v>291</v>
      </c>
      <c r="I25" t="str">
        <f>_xlfn.XLOOKUP($C25,dim_campaigns!$D$2:$D$3,dim_campaigns!$A$2:$A$3,"",0)</f>
        <v>Sankranti</v>
      </c>
      <c r="J25" s="6">
        <f t="shared" si="0"/>
        <v>0.4264705882352941</v>
      </c>
      <c r="K25">
        <f t="shared" si="1"/>
        <v>68622.84</v>
      </c>
      <c r="L25" t="str">
        <f>VLOOKUP($B25,dim_stores!$A$1:$C$51,2,0)</f>
        <v>Mysuru</v>
      </c>
    </row>
    <row r="26" spans="1:12" x14ac:dyDescent="0.3">
      <c r="A26" t="s">
        <v>73</v>
      </c>
      <c r="B26" t="s">
        <v>60</v>
      </c>
      <c r="C26" t="s">
        <v>10</v>
      </c>
      <c r="D26" t="s">
        <v>38</v>
      </c>
      <c r="E26">
        <v>1190</v>
      </c>
      <c r="F26" t="s">
        <v>21</v>
      </c>
      <c r="G26">
        <v>19</v>
      </c>
      <c r="H26">
        <v>74</v>
      </c>
      <c r="I26" t="str">
        <f>_xlfn.XLOOKUP($C26,dim_campaigns!$D$2:$D$3,dim_campaigns!$A$2:$A$3,"",0)</f>
        <v>Sankranti</v>
      </c>
      <c r="J26" s="6">
        <f t="shared" si="0"/>
        <v>2.8947368421052633</v>
      </c>
      <c r="K26">
        <f t="shared" si="1"/>
        <v>66640</v>
      </c>
      <c r="L26" t="str">
        <f>VLOOKUP($B26,dim_stores!$A$1:$C$51,2,0)</f>
        <v>Trivandrum</v>
      </c>
    </row>
    <row r="27" spans="1:12" x14ac:dyDescent="0.3">
      <c r="A27" t="s">
        <v>74</v>
      </c>
      <c r="B27" t="s">
        <v>75</v>
      </c>
      <c r="C27" t="s">
        <v>15</v>
      </c>
      <c r="D27" t="s">
        <v>16</v>
      </c>
      <c r="E27">
        <v>156</v>
      </c>
      <c r="F27" t="s">
        <v>17</v>
      </c>
      <c r="G27">
        <v>227</v>
      </c>
      <c r="H27">
        <v>202</v>
      </c>
      <c r="I27" t="str">
        <f>_xlfn.XLOOKUP($C27,dim_campaigns!$D$2:$D$3,dim_campaigns!$A$2:$A$3,"",0)</f>
        <v>Diwali</v>
      </c>
      <c r="J27" s="6">
        <f t="shared" si="0"/>
        <v>-0.11013215859030837</v>
      </c>
      <c r="K27">
        <f t="shared" si="1"/>
        <v>59046</v>
      </c>
      <c r="L27" t="str">
        <f>VLOOKUP($B27,dim_stores!$A$1:$C$51,2,0)</f>
        <v>Madurai</v>
      </c>
    </row>
    <row r="28" spans="1:12" x14ac:dyDescent="0.3">
      <c r="A28" t="s">
        <v>76</v>
      </c>
      <c r="B28" t="s">
        <v>9</v>
      </c>
      <c r="C28" t="s">
        <v>10</v>
      </c>
      <c r="D28" t="s">
        <v>24</v>
      </c>
      <c r="E28">
        <v>3000</v>
      </c>
      <c r="F28" t="s">
        <v>25</v>
      </c>
      <c r="G28">
        <v>85</v>
      </c>
      <c r="H28">
        <v>228</v>
      </c>
      <c r="I28" t="str">
        <f>_xlfn.XLOOKUP($C28,dim_campaigns!$D$2:$D$3,dim_campaigns!$A$2:$A$3,"",0)</f>
        <v>Sankranti</v>
      </c>
      <c r="J28" s="6">
        <f t="shared" si="0"/>
        <v>1.6823529411764706</v>
      </c>
      <c r="K28">
        <f t="shared" si="1"/>
        <v>825000</v>
      </c>
      <c r="L28" t="str">
        <f>VLOOKUP($B28,dim_stores!$A$1:$C$51,2,0)</f>
        <v>Coimbatore</v>
      </c>
    </row>
    <row r="29" spans="1:12" x14ac:dyDescent="0.3">
      <c r="A29" t="s">
        <v>77</v>
      </c>
      <c r="B29" t="s">
        <v>78</v>
      </c>
      <c r="C29" t="s">
        <v>15</v>
      </c>
      <c r="D29" t="s">
        <v>68</v>
      </c>
      <c r="E29">
        <v>1020</v>
      </c>
      <c r="F29" t="s">
        <v>21</v>
      </c>
      <c r="G29">
        <v>59</v>
      </c>
      <c r="H29">
        <v>182</v>
      </c>
      <c r="I29" t="str">
        <f>_xlfn.XLOOKUP($C29,dim_campaigns!$D$2:$D$3,dim_campaigns!$A$2:$A$3,"",0)</f>
        <v>Diwali</v>
      </c>
      <c r="J29" s="6">
        <f t="shared" si="0"/>
        <v>2.0847457627118646</v>
      </c>
      <c r="K29">
        <f t="shared" si="1"/>
        <v>153000</v>
      </c>
      <c r="L29" t="str">
        <f>VLOOKUP($B29,dim_stores!$A$1:$C$51,2,0)</f>
        <v>Mysuru</v>
      </c>
    </row>
    <row r="30" spans="1:12" x14ac:dyDescent="0.3">
      <c r="A30" t="s">
        <v>79</v>
      </c>
      <c r="B30" t="s">
        <v>9</v>
      </c>
      <c r="C30" t="s">
        <v>15</v>
      </c>
      <c r="D30" t="s">
        <v>35</v>
      </c>
      <c r="E30">
        <v>350</v>
      </c>
      <c r="F30" t="s">
        <v>21</v>
      </c>
      <c r="G30">
        <v>50</v>
      </c>
      <c r="H30">
        <v>190</v>
      </c>
      <c r="I30" t="str">
        <f>_xlfn.XLOOKUP($C30,dim_campaigns!$D$2:$D$3,dim_campaigns!$A$2:$A$3,"",0)</f>
        <v>Diwali</v>
      </c>
      <c r="J30" s="6">
        <f t="shared" si="0"/>
        <v>2.8</v>
      </c>
      <c r="K30">
        <f t="shared" si="1"/>
        <v>50750</v>
      </c>
      <c r="L30" t="str">
        <f>VLOOKUP($B30,dim_stores!$A$1:$C$51,2,0)</f>
        <v>Coimbatore</v>
      </c>
    </row>
    <row r="31" spans="1:12" x14ac:dyDescent="0.3">
      <c r="A31" t="s">
        <v>80</v>
      </c>
      <c r="B31" t="s">
        <v>81</v>
      </c>
      <c r="C31" t="s">
        <v>15</v>
      </c>
      <c r="D31" t="s">
        <v>11</v>
      </c>
      <c r="E31">
        <v>190</v>
      </c>
      <c r="F31" t="s">
        <v>12</v>
      </c>
      <c r="G31">
        <v>70</v>
      </c>
      <c r="H31">
        <v>89</v>
      </c>
      <c r="I31" t="str">
        <f>_xlfn.XLOOKUP($C31,dim_campaigns!$D$2:$D$3,dim_campaigns!$A$2:$A$3,"",0)</f>
        <v>Diwali</v>
      </c>
      <c r="J31" s="6">
        <f t="shared" si="0"/>
        <v>0.27142857142857141</v>
      </c>
      <c r="K31">
        <f t="shared" si="1"/>
        <v>21755</v>
      </c>
      <c r="L31" t="str">
        <f>VLOOKUP($B31,dim_stores!$A$1:$C$51,2,0)</f>
        <v>Madurai</v>
      </c>
    </row>
    <row r="32" spans="1:12" x14ac:dyDescent="0.3">
      <c r="A32" t="s">
        <v>82</v>
      </c>
      <c r="B32" t="s">
        <v>56</v>
      </c>
      <c r="C32" t="s">
        <v>10</v>
      </c>
      <c r="D32" t="s">
        <v>61</v>
      </c>
      <c r="E32">
        <v>172</v>
      </c>
      <c r="F32" t="s">
        <v>54</v>
      </c>
      <c r="G32">
        <v>333</v>
      </c>
      <c r="H32">
        <v>402</v>
      </c>
      <c r="I32" t="str">
        <f>_xlfn.XLOOKUP($C32,dim_campaigns!$D$2:$D$3,dim_campaigns!$A$2:$A$3,"",0)</f>
        <v>Sankranti</v>
      </c>
      <c r="J32" s="6">
        <f t="shared" si="0"/>
        <v>0.2072072072072072</v>
      </c>
      <c r="K32">
        <f t="shared" si="1"/>
        <v>103602.48</v>
      </c>
      <c r="L32" t="str">
        <f>VLOOKUP($B32,dim_stores!$A$1:$C$51,2,0)</f>
        <v>Chennai</v>
      </c>
    </row>
    <row r="33" spans="1:12" x14ac:dyDescent="0.3">
      <c r="A33" t="s">
        <v>83</v>
      </c>
      <c r="B33" t="s">
        <v>84</v>
      </c>
      <c r="C33" t="s">
        <v>10</v>
      </c>
      <c r="D33" t="s">
        <v>85</v>
      </c>
      <c r="E33">
        <v>90</v>
      </c>
      <c r="F33" t="s">
        <v>17</v>
      </c>
      <c r="G33">
        <v>52</v>
      </c>
      <c r="H33">
        <v>39</v>
      </c>
      <c r="I33" t="str">
        <f>_xlfn.XLOOKUP($C33,dim_campaigns!$D$2:$D$3,dim_campaigns!$A$2:$A$3,"",0)</f>
        <v>Sankranti</v>
      </c>
      <c r="J33" s="6">
        <f t="shared" si="0"/>
        <v>-0.25</v>
      </c>
      <c r="K33">
        <f t="shared" si="1"/>
        <v>7312.5</v>
      </c>
      <c r="L33" t="str">
        <f>VLOOKUP($B33,dim_stores!$A$1:$C$51,2,0)</f>
        <v>Mysuru</v>
      </c>
    </row>
    <row r="34" spans="1:12" x14ac:dyDescent="0.3">
      <c r="A34" t="s">
        <v>86</v>
      </c>
      <c r="B34" t="s">
        <v>14</v>
      </c>
      <c r="C34" t="s">
        <v>10</v>
      </c>
      <c r="D34" t="s">
        <v>28</v>
      </c>
      <c r="E34">
        <v>55</v>
      </c>
      <c r="F34" t="s">
        <v>17</v>
      </c>
      <c r="G34">
        <v>34</v>
      </c>
      <c r="H34">
        <v>24</v>
      </c>
      <c r="I34" t="str">
        <f>_xlfn.XLOOKUP($C34,dim_campaigns!$D$2:$D$3,dim_campaigns!$A$2:$A$3,"",0)</f>
        <v>Sankranti</v>
      </c>
      <c r="J34" s="6">
        <f t="shared" si="0"/>
        <v>-0.29411764705882354</v>
      </c>
      <c r="K34">
        <f t="shared" si="1"/>
        <v>2860</v>
      </c>
      <c r="L34" t="str">
        <f>VLOOKUP($B34,dim_stores!$A$1:$C$51,2,0)</f>
        <v>Bengaluru</v>
      </c>
    </row>
    <row r="35" spans="1:12" x14ac:dyDescent="0.3">
      <c r="A35" t="s">
        <v>87</v>
      </c>
      <c r="B35" t="s">
        <v>81</v>
      </c>
      <c r="C35" t="s">
        <v>10</v>
      </c>
      <c r="D35" t="s">
        <v>38</v>
      </c>
      <c r="E35">
        <v>1190</v>
      </c>
      <c r="F35" t="s">
        <v>21</v>
      </c>
      <c r="G35">
        <v>33</v>
      </c>
      <c r="H35">
        <v>136</v>
      </c>
      <c r="I35" t="str">
        <f>_xlfn.XLOOKUP($C35,dim_campaigns!$D$2:$D$3,dim_campaigns!$A$2:$A$3,"",0)</f>
        <v>Sankranti</v>
      </c>
      <c r="J35" s="6">
        <f t="shared" si="0"/>
        <v>3.1212121212121211</v>
      </c>
      <c r="K35">
        <f t="shared" si="1"/>
        <v>120190</v>
      </c>
      <c r="L35" t="str">
        <f>VLOOKUP($B35,dim_stores!$A$1:$C$51,2,0)</f>
        <v>Madurai</v>
      </c>
    </row>
    <row r="36" spans="1:12" x14ac:dyDescent="0.3">
      <c r="A36" t="s">
        <v>88</v>
      </c>
      <c r="B36" t="s">
        <v>89</v>
      </c>
      <c r="C36" t="s">
        <v>10</v>
      </c>
      <c r="D36" t="s">
        <v>38</v>
      </c>
      <c r="E36">
        <v>1190</v>
      </c>
      <c r="F36" t="s">
        <v>21</v>
      </c>
      <c r="G36">
        <v>27</v>
      </c>
      <c r="H36">
        <v>109</v>
      </c>
      <c r="I36" t="str">
        <f>_xlfn.XLOOKUP($C36,dim_campaigns!$D$2:$D$3,dim_campaigns!$A$2:$A$3,"",0)</f>
        <v>Sankranti</v>
      </c>
      <c r="J36" s="6">
        <f t="shared" si="0"/>
        <v>3.0370370370370372</v>
      </c>
      <c r="K36">
        <f t="shared" si="1"/>
        <v>96985</v>
      </c>
      <c r="L36" t="str">
        <f>VLOOKUP($B36,dim_stores!$A$1:$C$51,2,0)</f>
        <v>Vijayawada</v>
      </c>
    </row>
    <row r="37" spans="1:12" x14ac:dyDescent="0.3">
      <c r="A37" t="s">
        <v>90</v>
      </c>
      <c r="B37" t="s">
        <v>91</v>
      </c>
      <c r="C37" t="s">
        <v>15</v>
      </c>
      <c r="D37" t="s">
        <v>61</v>
      </c>
      <c r="E37">
        <v>172</v>
      </c>
      <c r="F37" t="s">
        <v>54</v>
      </c>
      <c r="G37">
        <v>309</v>
      </c>
      <c r="H37">
        <v>534</v>
      </c>
      <c r="I37" t="str">
        <f>_xlfn.XLOOKUP($C37,dim_campaigns!$D$2:$D$3,dim_campaigns!$A$2:$A$3,"",0)</f>
        <v>Diwali</v>
      </c>
      <c r="J37" s="6">
        <f t="shared" si="0"/>
        <v>0.72815533980582525</v>
      </c>
      <c r="K37">
        <f t="shared" si="1"/>
        <v>114686.16</v>
      </c>
      <c r="L37" t="str">
        <f>VLOOKUP($B37,dim_stores!$A$1:$C$51,2,0)</f>
        <v>Hyderabad</v>
      </c>
    </row>
    <row r="38" spans="1:12" x14ac:dyDescent="0.3">
      <c r="A38" t="s">
        <v>92</v>
      </c>
      <c r="B38" t="s">
        <v>93</v>
      </c>
      <c r="C38" t="s">
        <v>10</v>
      </c>
      <c r="D38" t="s">
        <v>16</v>
      </c>
      <c r="E38">
        <v>200</v>
      </c>
      <c r="F38" t="s">
        <v>21</v>
      </c>
      <c r="G38">
        <v>348</v>
      </c>
      <c r="H38">
        <v>1350</v>
      </c>
      <c r="I38" t="str">
        <f>_xlfn.XLOOKUP($C38,dim_campaigns!$D$2:$D$3,dim_campaigns!$A$2:$A$3,"",0)</f>
        <v>Sankranti</v>
      </c>
      <c r="J38" s="6">
        <f t="shared" si="0"/>
        <v>2.8793103448275863</v>
      </c>
      <c r="K38">
        <f t="shared" si="1"/>
        <v>204600</v>
      </c>
      <c r="L38" t="str">
        <f>VLOOKUP($B38,dim_stores!$A$1:$C$51,2,0)</f>
        <v>Bengaluru</v>
      </c>
    </row>
    <row r="39" spans="1:12" x14ac:dyDescent="0.3">
      <c r="A39" t="s">
        <v>94</v>
      </c>
      <c r="B39" t="s">
        <v>95</v>
      </c>
      <c r="C39" t="s">
        <v>15</v>
      </c>
      <c r="D39" t="s">
        <v>51</v>
      </c>
      <c r="E39">
        <v>290</v>
      </c>
      <c r="F39" t="s">
        <v>17</v>
      </c>
      <c r="G39">
        <v>287</v>
      </c>
      <c r="H39">
        <v>220</v>
      </c>
      <c r="I39" t="str">
        <f>_xlfn.XLOOKUP($C39,dim_campaigns!$D$2:$D$3,dim_campaigns!$A$2:$A$3,"",0)</f>
        <v>Diwali</v>
      </c>
      <c r="J39" s="6">
        <f t="shared" si="0"/>
        <v>-0.23344947735191637</v>
      </c>
      <c r="K39">
        <f t="shared" si="1"/>
        <v>131080</v>
      </c>
      <c r="L39" t="str">
        <f>VLOOKUP($B39,dim_stores!$A$1:$C$51,2,0)</f>
        <v>Hyderabad</v>
      </c>
    </row>
    <row r="40" spans="1:12" x14ac:dyDescent="0.3">
      <c r="A40">
        <v>620715</v>
      </c>
      <c r="B40" t="s">
        <v>96</v>
      </c>
      <c r="C40" t="s">
        <v>10</v>
      </c>
      <c r="D40" t="s">
        <v>16</v>
      </c>
      <c r="E40">
        <v>200</v>
      </c>
      <c r="F40" t="s">
        <v>21</v>
      </c>
      <c r="G40">
        <v>340</v>
      </c>
      <c r="H40">
        <v>1485</v>
      </c>
      <c r="I40" t="str">
        <f>_xlfn.XLOOKUP($C40,dim_campaigns!$D$2:$D$3,dim_campaigns!$A$2:$A$3,"",0)</f>
        <v>Sankranti</v>
      </c>
      <c r="J40" s="6">
        <f t="shared" si="0"/>
        <v>3.3676470588235294</v>
      </c>
      <c r="K40">
        <f t="shared" si="1"/>
        <v>216500</v>
      </c>
      <c r="L40" t="str">
        <f>VLOOKUP($B40,dim_stores!$A$1:$C$51,2,0)</f>
        <v>Mysuru</v>
      </c>
    </row>
    <row r="41" spans="1:12" x14ac:dyDescent="0.3">
      <c r="A41" s="1" t="s">
        <v>97</v>
      </c>
      <c r="B41" t="s">
        <v>89</v>
      </c>
      <c r="C41" t="s">
        <v>15</v>
      </c>
      <c r="D41" t="s">
        <v>38</v>
      </c>
      <c r="E41">
        <v>1190</v>
      </c>
      <c r="F41" t="s">
        <v>21</v>
      </c>
      <c r="G41">
        <v>24</v>
      </c>
      <c r="H41">
        <v>82</v>
      </c>
      <c r="I41" t="str">
        <f>_xlfn.XLOOKUP($C41,dim_campaigns!$D$2:$D$3,dim_campaigns!$A$2:$A$3,"",0)</f>
        <v>Diwali</v>
      </c>
      <c r="J41" s="6">
        <f t="shared" si="0"/>
        <v>2.4166666666666665</v>
      </c>
      <c r="K41">
        <f t="shared" si="1"/>
        <v>77350</v>
      </c>
      <c r="L41" t="str">
        <f>VLOOKUP($B41,dim_stores!$A$1:$C$51,2,0)</f>
        <v>Vijayawada</v>
      </c>
    </row>
    <row r="42" spans="1:12" x14ac:dyDescent="0.3">
      <c r="A42">
        <v>761785</v>
      </c>
      <c r="B42" t="s">
        <v>29</v>
      </c>
      <c r="C42" t="s">
        <v>10</v>
      </c>
      <c r="D42" t="s">
        <v>68</v>
      </c>
      <c r="E42">
        <v>1020</v>
      </c>
      <c r="F42" t="s">
        <v>21</v>
      </c>
      <c r="G42">
        <v>121</v>
      </c>
      <c r="H42">
        <v>474</v>
      </c>
      <c r="I42" t="str">
        <f>_xlfn.XLOOKUP($C42,dim_campaigns!$D$2:$D$3,dim_campaigns!$A$2:$A$3,"",0)</f>
        <v>Sankranti</v>
      </c>
      <c r="J42" s="6">
        <f t="shared" si="0"/>
        <v>2.9173553719008263</v>
      </c>
      <c r="K42">
        <f t="shared" si="1"/>
        <v>365160</v>
      </c>
      <c r="L42" t="str">
        <f>VLOOKUP($B42,dim_stores!$A$1:$C$51,2,0)</f>
        <v>Bengaluru</v>
      </c>
    </row>
    <row r="43" spans="1:12" x14ac:dyDescent="0.3">
      <c r="A43" t="s">
        <v>98</v>
      </c>
      <c r="B43" t="s">
        <v>31</v>
      </c>
      <c r="C43" t="s">
        <v>10</v>
      </c>
      <c r="D43" t="s">
        <v>24</v>
      </c>
      <c r="E43">
        <v>3000</v>
      </c>
      <c r="F43" t="s">
        <v>25</v>
      </c>
      <c r="G43">
        <v>109</v>
      </c>
      <c r="H43">
        <v>238</v>
      </c>
      <c r="I43" t="str">
        <f>_xlfn.XLOOKUP($C43,dim_campaigns!$D$2:$D$3,dim_campaigns!$A$2:$A$3,"",0)</f>
        <v>Sankranti</v>
      </c>
      <c r="J43" s="6">
        <f t="shared" si="0"/>
        <v>1.1834862385321101</v>
      </c>
      <c r="K43">
        <f t="shared" si="1"/>
        <v>922000</v>
      </c>
      <c r="L43" t="str">
        <f>VLOOKUP($B43,dim_stores!$A$1:$C$51,2,0)</f>
        <v>Visakhapatnam</v>
      </c>
    </row>
    <row r="44" spans="1:12" x14ac:dyDescent="0.3">
      <c r="A44">
        <v>276150</v>
      </c>
      <c r="B44" t="s">
        <v>99</v>
      </c>
      <c r="C44" t="s">
        <v>10</v>
      </c>
      <c r="D44" t="s">
        <v>20</v>
      </c>
      <c r="E44">
        <v>300</v>
      </c>
      <c r="F44" t="s">
        <v>21</v>
      </c>
      <c r="G44">
        <v>33</v>
      </c>
      <c r="H44">
        <v>128</v>
      </c>
      <c r="I44" t="str">
        <f>_xlfn.XLOOKUP($C44,dim_campaigns!$D$2:$D$3,dim_campaigns!$A$2:$A$3,"",0)</f>
        <v>Sankranti</v>
      </c>
      <c r="J44" s="6">
        <f t="shared" si="0"/>
        <v>2.8787878787878789</v>
      </c>
      <c r="K44">
        <f t="shared" si="1"/>
        <v>29100</v>
      </c>
      <c r="L44" t="str">
        <f>VLOOKUP($B44,dim_stores!$A$1:$C$51,2,0)</f>
        <v>Coimbatore</v>
      </c>
    </row>
    <row r="45" spans="1:12" x14ac:dyDescent="0.3">
      <c r="A45" t="s">
        <v>100</v>
      </c>
      <c r="B45" t="s">
        <v>42</v>
      </c>
      <c r="C45" t="s">
        <v>10</v>
      </c>
      <c r="D45" t="s">
        <v>35</v>
      </c>
      <c r="E45">
        <v>350</v>
      </c>
      <c r="F45" t="s">
        <v>21</v>
      </c>
      <c r="G45">
        <v>81</v>
      </c>
      <c r="H45">
        <v>208</v>
      </c>
      <c r="I45" t="str">
        <f>_xlfn.XLOOKUP($C45,dim_campaigns!$D$2:$D$3,dim_campaigns!$A$2:$A$3,"",0)</f>
        <v>Sankranti</v>
      </c>
      <c r="J45" s="6">
        <f t="shared" si="0"/>
        <v>1.5679012345679013</v>
      </c>
      <c r="K45">
        <f t="shared" si="1"/>
        <v>64750</v>
      </c>
      <c r="L45" t="str">
        <f>VLOOKUP($B45,dim_stores!$A$1:$C$51,2,0)</f>
        <v>Mysuru</v>
      </c>
    </row>
    <row r="46" spans="1:12" x14ac:dyDescent="0.3">
      <c r="A46" t="s">
        <v>101</v>
      </c>
      <c r="B46" t="s">
        <v>89</v>
      </c>
      <c r="C46" t="s">
        <v>15</v>
      </c>
      <c r="D46" t="s">
        <v>16</v>
      </c>
      <c r="E46">
        <v>156</v>
      </c>
      <c r="F46" t="s">
        <v>17</v>
      </c>
      <c r="G46">
        <v>183</v>
      </c>
      <c r="H46">
        <v>150</v>
      </c>
      <c r="I46" t="str">
        <f>_xlfn.XLOOKUP($C46,dim_campaigns!$D$2:$D$3,dim_campaigns!$A$2:$A$3,"",0)</f>
        <v>Diwali</v>
      </c>
      <c r="J46" s="6">
        <f t="shared" si="0"/>
        <v>-0.18032786885245902</v>
      </c>
      <c r="K46">
        <f t="shared" si="1"/>
        <v>46098</v>
      </c>
      <c r="L46" t="str">
        <f>VLOOKUP($B46,dim_stores!$A$1:$C$51,2,0)</f>
        <v>Vijayawada</v>
      </c>
    </row>
    <row r="47" spans="1:12" x14ac:dyDescent="0.3">
      <c r="A47">
        <v>627200</v>
      </c>
      <c r="B47" t="s">
        <v>37</v>
      </c>
      <c r="C47" t="s">
        <v>15</v>
      </c>
      <c r="D47" t="s">
        <v>68</v>
      </c>
      <c r="E47">
        <v>1020</v>
      </c>
      <c r="F47" t="s">
        <v>21</v>
      </c>
      <c r="G47">
        <v>36</v>
      </c>
      <c r="H47">
        <v>111</v>
      </c>
      <c r="I47" t="str">
        <f>_xlfn.XLOOKUP($C47,dim_campaigns!$D$2:$D$3,dim_campaigns!$A$2:$A$3,"",0)</f>
        <v>Diwali</v>
      </c>
      <c r="J47" s="6">
        <f t="shared" si="0"/>
        <v>2.0833333333333335</v>
      </c>
      <c r="K47">
        <f t="shared" si="1"/>
        <v>93330</v>
      </c>
      <c r="L47" t="str">
        <f>VLOOKUP($B47,dim_stores!$A$1:$C$51,2,0)</f>
        <v>Coimbatore</v>
      </c>
    </row>
    <row r="48" spans="1:12" x14ac:dyDescent="0.3">
      <c r="A48" t="s">
        <v>102</v>
      </c>
      <c r="B48" t="s">
        <v>103</v>
      </c>
      <c r="C48" t="s">
        <v>15</v>
      </c>
      <c r="D48" t="s">
        <v>48</v>
      </c>
      <c r="E48">
        <v>62</v>
      </c>
      <c r="F48" t="s">
        <v>12</v>
      </c>
      <c r="G48">
        <v>122</v>
      </c>
      <c r="H48">
        <v>135</v>
      </c>
      <c r="I48" t="str">
        <f>_xlfn.XLOOKUP($C48,dim_campaigns!$D$2:$D$3,dim_campaigns!$A$2:$A$3,"",0)</f>
        <v>Diwali</v>
      </c>
      <c r="J48" s="6">
        <f t="shared" si="0"/>
        <v>0.10655737704918032</v>
      </c>
      <c r="K48">
        <f t="shared" si="1"/>
        <v>11749</v>
      </c>
      <c r="L48" t="str">
        <f>VLOOKUP($B48,dim_stores!$A$1:$C$51,2,0)</f>
        <v>Hyderabad</v>
      </c>
    </row>
    <row r="49" spans="1:12" x14ac:dyDescent="0.3">
      <c r="A49" t="s">
        <v>104</v>
      </c>
      <c r="B49" t="s">
        <v>19</v>
      </c>
      <c r="C49" t="s">
        <v>10</v>
      </c>
      <c r="D49" t="s">
        <v>43</v>
      </c>
      <c r="E49">
        <v>415</v>
      </c>
      <c r="F49" t="s">
        <v>17</v>
      </c>
      <c r="G49">
        <v>16</v>
      </c>
      <c r="H49">
        <v>14</v>
      </c>
      <c r="I49" t="str">
        <f>_xlfn.XLOOKUP($C49,dim_campaigns!$D$2:$D$3,dim_campaigns!$A$2:$A$3,"",0)</f>
        <v>Sankranti</v>
      </c>
      <c r="J49" s="6">
        <f t="shared" si="0"/>
        <v>-0.125</v>
      </c>
      <c r="K49">
        <f t="shared" si="1"/>
        <v>10997.5</v>
      </c>
      <c r="L49" t="str">
        <f>VLOOKUP($B49,dim_stores!$A$1:$C$51,2,0)</f>
        <v>Vijayawada</v>
      </c>
    </row>
    <row r="50" spans="1:12" x14ac:dyDescent="0.3">
      <c r="A50" t="s">
        <v>105</v>
      </c>
      <c r="B50" t="s">
        <v>47</v>
      </c>
      <c r="C50" t="s">
        <v>10</v>
      </c>
      <c r="D50" t="s">
        <v>61</v>
      </c>
      <c r="E50">
        <v>172</v>
      </c>
      <c r="F50" t="s">
        <v>54</v>
      </c>
      <c r="G50">
        <v>273</v>
      </c>
      <c r="H50">
        <v>379</v>
      </c>
      <c r="I50" t="str">
        <f>_xlfn.XLOOKUP($C50,dim_campaigns!$D$2:$D$3,dim_campaigns!$A$2:$A$3,"",0)</f>
        <v>Sankranti</v>
      </c>
      <c r="J50" s="6">
        <f t="shared" si="0"/>
        <v>0.38827838827838829</v>
      </c>
      <c r="K50">
        <f t="shared" si="1"/>
        <v>90631.959999999992</v>
      </c>
      <c r="L50" t="str">
        <f>VLOOKUP($B50,dim_stores!$A$1:$C$51,2,0)</f>
        <v>Chennai</v>
      </c>
    </row>
    <row r="51" spans="1:12" x14ac:dyDescent="0.3">
      <c r="A51" t="s">
        <v>106</v>
      </c>
      <c r="B51" t="s">
        <v>107</v>
      </c>
      <c r="C51" t="s">
        <v>15</v>
      </c>
      <c r="D51" t="s">
        <v>28</v>
      </c>
      <c r="E51">
        <v>55</v>
      </c>
      <c r="F51" t="s">
        <v>17</v>
      </c>
      <c r="G51">
        <v>78</v>
      </c>
      <c r="H51">
        <v>75</v>
      </c>
      <c r="I51" t="str">
        <f>_xlfn.XLOOKUP($C51,dim_campaigns!$D$2:$D$3,dim_campaigns!$A$2:$A$3,"",0)</f>
        <v>Diwali</v>
      </c>
      <c r="J51" s="6">
        <f t="shared" si="0"/>
        <v>-3.8461538461538464E-2</v>
      </c>
      <c r="K51">
        <f t="shared" si="1"/>
        <v>7383.75</v>
      </c>
      <c r="L51" t="str">
        <f>VLOOKUP($B51,dim_stores!$A$1:$C$51,2,0)</f>
        <v>Coimbatore</v>
      </c>
    </row>
    <row r="52" spans="1:12" x14ac:dyDescent="0.3">
      <c r="A52" t="s">
        <v>108</v>
      </c>
      <c r="B52" t="s">
        <v>31</v>
      </c>
      <c r="C52" t="s">
        <v>10</v>
      </c>
      <c r="D52" t="s">
        <v>53</v>
      </c>
      <c r="E52">
        <v>860</v>
      </c>
      <c r="F52" t="s">
        <v>54</v>
      </c>
      <c r="G52">
        <v>295</v>
      </c>
      <c r="H52">
        <v>436</v>
      </c>
      <c r="I52" t="str">
        <f>_xlfn.XLOOKUP($C52,dim_campaigns!$D$2:$D$3,dim_campaigns!$A$2:$A$3,"",0)</f>
        <v>Sankranti</v>
      </c>
      <c r="J52" s="6">
        <f t="shared" si="0"/>
        <v>0.47796610169491527</v>
      </c>
      <c r="K52">
        <f t="shared" si="1"/>
        <v>504923.2</v>
      </c>
      <c r="L52" t="str">
        <f>VLOOKUP($B52,dim_stores!$A$1:$C$51,2,0)</f>
        <v>Visakhapatnam</v>
      </c>
    </row>
    <row r="53" spans="1:12" x14ac:dyDescent="0.3">
      <c r="A53" t="s">
        <v>109</v>
      </c>
      <c r="B53" t="s">
        <v>78</v>
      </c>
      <c r="C53" t="s">
        <v>10</v>
      </c>
      <c r="D53" t="s">
        <v>35</v>
      </c>
      <c r="E53">
        <v>350</v>
      </c>
      <c r="F53" t="s">
        <v>21</v>
      </c>
      <c r="G53">
        <v>114</v>
      </c>
      <c r="H53">
        <v>287</v>
      </c>
      <c r="I53" t="str">
        <f>_xlfn.XLOOKUP($C53,dim_campaigns!$D$2:$D$3,dim_campaigns!$A$2:$A$3,"",0)</f>
        <v>Sankranti</v>
      </c>
      <c r="J53" s="6">
        <f t="shared" si="0"/>
        <v>1.5175438596491229</v>
      </c>
      <c r="K53">
        <f t="shared" si="1"/>
        <v>90125</v>
      </c>
      <c r="L53" t="str">
        <f>VLOOKUP($B53,dim_stores!$A$1:$C$51,2,0)</f>
        <v>Mysuru</v>
      </c>
    </row>
    <row r="54" spans="1:12" x14ac:dyDescent="0.3">
      <c r="A54">
        <v>105788</v>
      </c>
      <c r="B54" t="s">
        <v>110</v>
      </c>
      <c r="C54" t="s">
        <v>10</v>
      </c>
      <c r="D54" t="s">
        <v>20</v>
      </c>
      <c r="E54">
        <v>300</v>
      </c>
      <c r="F54" t="s">
        <v>21</v>
      </c>
      <c r="G54">
        <v>58</v>
      </c>
      <c r="H54">
        <v>232</v>
      </c>
      <c r="I54" t="str">
        <f>_xlfn.XLOOKUP($C54,dim_campaigns!$D$2:$D$3,dim_campaigns!$A$2:$A$3,"",0)</f>
        <v>Sankranti</v>
      </c>
      <c r="J54" s="6">
        <f t="shared" si="0"/>
        <v>3</v>
      </c>
      <c r="K54">
        <f t="shared" si="1"/>
        <v>52200</v>
      </c>
      <c r="L54" t="str">
        <f>VLOOKUP($B54,dim_stores!$A$1:$C$51,2,0)</f>
        <v>Chennai</v>
      </c>
    </row>
    <row r="55" spans="1:12" x14ac:dyDescent="0.3">
      <c r="A55" t="s">
        <v>111</v>
      </c>
      <c r="B55" t="s">
        <v>95</v>
      </c>
      <c r="C55" t="s">
        <v>10</v>
      </c>
      <c r="D55" t="s">
        <v>32</v>
      </c>
      <c r="E55">
        <v>50</v>
      </c>
      <c r="F55" t="s">
        <v>17</v>
      </c>
      <c r="G55">
        <v>42</v>
      </c>
      <c r="H55">
        <v>31</v>
      </c>
      <c r="I55" t="str">
        <f>_xlfn.XLOOKUP($C55,dim_campaigns!$D$2:$D$3,dim_campaigns!$A$2:$A$3,"",0)</f>
        <v>Sankranti</v>
      </c>
      <c r="J55" s="6">
        <f t="shared" si="0"/>
        <v>-0.26190476190476192</v>
      </c>
      <c r="K55">
        <f t="shared" si="1"/>
        <v>3262.5</v>
      </c>
      <c r="L55" t="str">
        <f>VLOOKUP($B55,dim_stores!$A$1:$C$51,2,0)</f>
        <v>Hyderabad</v>
      </c>
    </row>
    <row r="56" spans="1:12" x14ac:dyDescent="0.3">
      <c r="A56" s="1">
        <v>4470000</v>
      </c>
      <c r="B56" t="s">
        <v>19</v>
      </c>
      <c r="C56" t="s">
        <v>10</v>
      </c>
      <c r="D56" t="s">
        <v>51</v>
      </c>
      <c r="E56">
        <v>370</v>
      </c>
      <c r="F56" t="s">
        <v>21</v>
      </c>
      <c r="G56">
        <v>253</v>
      </c>
      <c r="H56">
        <v>1017</v>
      </c>
      <c r="I56" t="str">
        <f>_xlfn.XLOOKUP($C56,dim_campaigns!$D$2:$D$3,dim_campaigns!$A$2:$A$3,"",0)</f>
        <v>Sankranti</v>
      </c>
      <c r="J56" s="6">
        <f t="shared" si="0"/>
        <v>3.0197628458498023</v>
      </c>
      <c r="K56">
        <f t="shared" si="1"/>
        <v>281755</v>
      </c>
      <c r="L56" t="str">
        <f>VLOOKUP($B56,dim_stores!$A$1:$C$51,2,0)</f>
        <v>Vijayawada</v>
      </c>
    </row>
    <row r="57" spans="1:12" x14ac:dyDescent="0.3">
      <c r="A57" t="s">
        <v>112</v>
      </c>
      <c r="B57" t="s">
        <v>113</v>
      </c>
      <c r="C57" t="s">
        <v>15</v>
      </c>
      <c r="D57" t="s">
        <v>61</v>
      </c>
      <c r="E57">
        <v>172</v>
      </c>
      <c r="F57" t="s">
        <v>54</v>
      </c>
      <c r="G57">
        <v>325</v>
      </c>
      <c r="H57">
        <v>396</v>
      </c>
      <c r="I57" t="str">
        <f>_xlfn.XLOOKUP($C57,dim_campaigns!$D$2:$D$3,dim_campaigns!$A$2:$A$3,"",0)</f>
        <v>Diwali</v>
      </c>
      <c r="J57" s="6">
        <f t="shared" si="0"/>
        <v>0.21846153846153846</v>
      </c>
      <c r="K57">
        <f t="shared" si="1"/>
        <v>101535.04000000001</v>
      </c>
      <c r="L57" t="str">
        <f>VLOOKUP($B57,dim_stores!$A$1:$C$51,2,0)</f>
        <v>Chennai</v>
      </c>
    </row>
    <row r="58" spans="1:12" x14ac:dyDescent="0.3">
      <c r="A58" t="s">
        <v>114</v>
      </c>
      <c r="B58" t="s">
        <v>115</v>
      </c>
      <c r="C58" t="s">
        <v>10</v>
      </c>
      <c r="D58" t="s">
        <v>32</v>
      </c>
      <c r="E58">
        <v>50</v>
      </c>
      <c r="F58" t="s">
        <v>17</v>
      </c>
      <c r="G58">
        <v>40</v>
      </c>
      <c r="H58">
        <v>36</v>
      </c>
      <c r="I58" t="str">
        <f>_xlfn.XLOOKUP($C58,dim_campaigns!$D$2:$D$3,dim_campaigns!$A$2:$A$3,"",0)</f>
        <v>Sankranti</v>
      </c>
      <c r="J58" s="6">
        <f t="shared" si="0"/>
        <v>-0.1</v>
      </c>
      <c r="K58">
        <f t="shared" si="1"/>
        <v>3350</v>
      </c>
      <c r="L58" t="str">
        <f>VLOOKUP($B58,dim_stores!$A$1:$C$51,2,0)</f>
        <v>Bengaluru</v>
      </c>
    </row>
    <row r="59" spans="1:12" x14ac:dyDescent="0.3">
      <c r="A59" t="s">
        <v>116</v>
      </c>
      <c r="B59" t="s">
        <v>117</v>
      </c>
      <c r="C59" t="s">
        <v>15</v>
      </c>
      <c r="D59" t="s">
        <v>11</v>
      </c>
      <c r="E59">
        <v>190</v>
      </c>
      <c r="F59" t="s">
        <v>12</v>
      </c>
      <c r="G59">
        <v>38</v>
      </c>
      <c r="H59">
        <v>50</v>
      </c>
      <c r="I59" t="str">
        <f>_xlfn.XLOOKUP($C59,dim_campaigns!$D$2:$D$3,dim_campaigns!$A$2:$A$3,"",0)</f>
        <v>Diwali</v>
      </c>
      <c r="J59" s="6">
        <f t="shared" si="0"/>
        <v>0.31578947368421051</v>
      </c>
      <c r="K59">
        <f t="shared" si="1"/>
        <v>11970</v>
      </c>
      <c r="L59" t="str">
        <f>VLOOKUP($B59,dim_stores!$A$1:$C$51,2,0)</f>
        <v>Mangalore</v>
      </c>
    </row>
    <row r="60" spans="1:12" x14ac:dyDescent="0.3">
      <c r="A60" t="s">
        <v>118</v>
      </c>
      <c r="B60" t="s">
        <v>119</v>
      </c>
      <c r="C60" t="s">
        <v>15</v>
      </c>
      <c r="D60" t="s">
        <v>28</v>
      </c>
      <c r="E60">
        <v>55</v>
      </c>
      <c r="F60" t="s">
        <v>17</v>
      </c>
      <c r="G60">
        <v>106</v>
      </c>
      <c r="H60">
        <v>92</v>
      </c>
      <c r="I60" t="str">
        <f>_xlfn.XLOOKUP($C60,dim_campaigns!$D$2:$D$3,dim_campaigns!$A$2:$A$3,"",0)</f>
        <v>Diwali</v>
      </c>
      <c r="J60" s="6">
        <f t="shared" si="0"/>
        <v>-0.13207547169811321</v>
      </c>
      <c r="K60">
        <f t="shared" si="1"/>
        <v>9625</v>
      </c>
      <c r="L60" t="str">
        <f>VLOOKUP($B60,dim_stores!$A$1:$C$51,2,0)</f>
        <v>Chennai</v>
      </c>
    </row>
    <row r="61" spans="1:12" x14ac:dyDescent="0.3">
      <c r="A61" t="s">
        <v>120</v>
      </c>
      <c r="B61" t="s">
        <v>99</v>
      </c>
      <c r="C61" t="s">
        <v>15</v>
      </c>
      <c r="D61" t="s">
        <v>43</v>
      </c>
      <c r="E61">
        <v>415</v>
      </c>
      <c r="F61" t="s">
        <v>17</v>
      </c>
      <c r="G61">
        <v>66</v>
      </c>
      <c r="H61">
        <v>57</v>
      </c>
      <c r="I61" t="str">
        <f>_xlfn.XLOOKUP($C61,dim_campaigns!$D$2:$D$3,dim_campaigns!$A$2:$A$3,"",0)</f>
        <v>Diwali</v>
      </c>
      <c r="J61" s="6">
        <f t="shared" si="0"/>
        <v>-0.13636363636363635</v>
      </c>
      <c r="K61">
        <f t="shared" si="1"/>
        <v>45131.25</v>
      </c>
      <c r="L61" t="str">
        <f>VLOOKUP($B61,dim_stores!$A$1:$C$51,2,0)</f>
        <v>Coimbatore</v>
      </c>
    </row>
    <row r="62" spans="1:12" x14ac:dyDescent="0.3">
      <c r="A62" t="s">
        <v>121</v>
      </c>
      <c r="B62" t="s">
        <v>65</v>
      </c>
      <c r="C62" t="s">
        <v>15</v>
      </c>
      <c r="D62" t="s">
        <v>16</v>
      </c>
      <c r="E62">
        <v>156</v>
      </c>
      <c r="F62" t="s">
        <v>17</v>
      </c>
      <c r="G62">
        <v>358</v>
      </c>
      <c r="H62">
        <v>347</v>
      </c>
      <c r="I62" t="str">
        <f>_xlfn.XLOOKUP($C62,dim_campaigns!$D$2:$D$3,dim_campaigns!$A$2:$A$3,"",0)</f>
        <v>Diwali</v>
      </c>
      <c r="J62" s="6">
        <f t="shared" si="0"/>
        <v>-3.0726256983240222E-2</v>
      </c>
      <c r="K62">
        <f t="shared" si="1"/>
        <v>96447</v>
      </c>
      <c r="L62" t="str">
        <f>VLOOKUP($B62,dim_stores!$A$1:$C$51,2,0)</f>
        <v>Hyderabad</v>
      </c>
    </row>
    <row r="63" spans="1:12" x14ac:dyDescent="0.3">
      <c r="A63" t="s">
        <v>122</v>
      </c>
      <c r="B63" t="s">
        <v>123</v>
      </c>
      <c r="C63" t="s">
        <v>15</v>
      </c>
      <c r="D63" t="s">
        <v>28</v>
      </c>
      <c r="E63">
        <v>55</v>
      </c>
      <c r="F63" t="s">
        <v>17</v>
      </c>
      <c r="G63">
        <v>117</v>
      </c>
      <c r="H63">
        <v>114</v>
      </c>
      <c r="I63" t="str">
        <f>_xlfn.XLOOKUP($C63,dim_campaigns!$D$2:$D$3,dim_campaigns!$A$2:$A$3,"",0)</f>
        <v>Diwali</v>
      </c>
      <c r="J63" s="6">
        <f t="shared" si="0"/>
        <v>-2.564102564102564E-2</v>
      </c>
      <c r="K63">
        <f t="shared" si="1"/>
        <v>11137.5</v>
      </c>
      <c r="L63" t="str">
        <f>VLOOKUP($B63,dim_stores!$A$1:$C$51,2,0)</f>
        <v>Bengaluru</v>
      </c>
    </row>
    <row r="64" spans="1:12" x14ac:dyDescent="0.3">
      <c r="A64" t="s">
        <v>124</v>
      </c>
      <c r="B64" t="s">
        <v>91</v>
      </c>
      <c r="C64" t="s">
        <v>15</v>
      </c>
      <c r="D64" t="s">
        <v>51</v>
      </c>
      <c r="E64">
        <v>290</v>
      </c>
      <c r="F64" t="s">
        <v>17</v>
      </c>
      <c r="G64">
        <v>367</v>
      </c>
      <c r="H64">
        <v>297</v>
      </c>
      <c r="I64" t="str">
        <f>_xlfn.XLOOKUP($C64,dim_campaigns!$D$2:$D$3,dim_campaigns!$A$2:$A$3,"",0)</f>
        <v>Diwali</v>
      </c>
      <c r="J64" s="6">
        <f t="shared" si="0"/>
        <v>-0.1907356948228883</v>
      </c>
      <c r="K64">
        <f t="shared" si="1"/>
        <v>171027.5</v>
      </c>
      <c r="L64" t="str">
        <f>VLOOKUP($B64,dim_stores!$A$1:$C$51,2,0)</f>
        <v>Hyderabad</v>
      </c>
    </row>
    <row r="65" spans="1:12" x14ac:dyDescent="0.3">
      <c r="A65" t="s">
        <v>125</v>
      </c>
      <c r="B65" t="s">
        <v>126</v>
      </c>
      <c r="C65" t="s">
        <v>15</v>
      </c>
      <c r="D65" t="s">
        <v>16</v>
      </c>
      <c r="E65">
        <v>156</v>
      </c>
      <c r="F65" t="s">
        <v>17</v>
      </c>
      <c r="G65">
        <v>166</v>
      </c>
      <c r="H65">
        <v>146</v>
      </c>
      <c r="I65" t="str">
        <f>_xlfn.XLOOKUP($C65,dim_campaigns!$D$2:$D$3,dim_campaigns!$A$2:$A$3,"",0)</f>
        <v>Diwali</v>
      </c>
      <c r="J65" s="6">
        <f t="shared" si="0"/>
        <v>-0.12048192771084337</v>
      </c>
      <c r="K65">
        <f t="shared" si="1"/>
        <v>42978</v>
      </c>
      <c r="L65" t="str">
        <f>VLOOKUP($B65,dim_stores!$A$1:$C$51,2,0)</f>
        <v>Mangalore</v>
      </c>
    </row>
    <row r="66" spans="1:12" x14ac:dyDescent="0.3">
      <c r="A66" t="s">
        <v>127</v>
      </c>
      <c r="B66" t="s">
        <v>81</v>
      </c>
      <c r="C66" t="s">
        <v>15</v>
      </c>
      <c r="D66" t="s">
        <v>24</v>
      </c>
      <c r="E66">
        <v>3000</v>
      </c>
      <c r="F66" t="s">
        <v>25</v>
      </c>
      <c r="G66">
        <v>369</v>
      </c>
      <c r="H66">
        <v>1221</v>
      </c>
      <c r="I66" t="str">
        <f>_xlfn.XLOOKUP($C66,dim_campaigns!$D$2:$D$3,dim_campaigns!$A$2:$A$3,"",0)</f>
        <v>Diwali</v>
      </c>
      <c r="J66" s="6">
        <f t="shared" si="0"/>
        <v>2.3089430894308944</v>
      </c>
      <c r="K66">
        <f t="shared" si="1"/>
        <v>4159500</v>
      </c>
      <c r="L66" t="str">
        <f>VLOOKUP($B66,dim_stores!$A$1:$C$51,2,0)</f>
        <v>Madurai</v>
      </c>
    </row>
    <row r="67" spans="1:12" x14ac:dyDescent="0.3">
      <c r="A67" t="s">
        <v>128</v>
      </c>
      <c r="B67" t="s">
        <v>42</v>
      </c>
      <c r="C67" t="s">
        <v>10</v>
      </c>
      <c r="D67" t="s">
        <v>28</v>
      </c>
      <c r="E67">
        <v>55</v>
      </c>
      <c r="F67" t="s">
        <v>17</v>
      </c>
      <c r="G67">
        <v>37</v>
      </c>
      <c r="H67">
        <v>30</v>
      </c>
      <c r="I67" t="str">
        <f>_xlfn.XLOOKUP($C67,dim_campaigns!$D$2:$D$3,dim_campaigns!$A$2:$A$3,"",0)</f>
        <v>Sankranti</v>
      </c>
      <c r="J67" s="6">
        <f t="shared" ref="J67:J130" si="2">IFERROR((H67-G67)/G67,0)</f>
        <v>-0.1891891891891892</v>
      </c>
      <c r="K67">
        <f t="shared" ref="K67:K130" si="3">E67*G67+(E67-IF(F67="500 Cashback",500,IF(F67="BOGOF",E67*50%,IF(F67="25% OFF",E67*25%,IF(F67="33% OFF",E67*33%,IF(F67="50% OFF",E67*50%,0))))))*H67</f>
        <v>3272.5</v>
      </c>
      <c r="L67" t="str">
        <f>VLOOKUP($B67,dim_stores!$A$1:$C$51,2,0)</f>
        <v>Mysuru</v>
      </c>
    </row>
    <row r="68" spans="1:12" x14ac:dyDescent="0.3">
      <c r="A68" t="s">
        <v>129</v>
      </c>
      <c r="B68" t="s">
        <v>126</v>
      </c>
      <c r="C68" t="s">
        <v>10</v>
      </c>
      <c r="D68" t="s">
        <v>32</v>
      </c>
      <c r="E68">
        <v>50</v>
      </c>
      <c r="F68" t="s">
        <v>17</v>
      </c>
      <c r="G68">
        <v>15</v>
      </c>
      <c r="H68">
        <v>12</v>
      </c>
      <c r="I68" t="str">
        <f>_xlfn.XLOOKUP($C68,dim_campaigns!$D$2:$D$3,dim_campaigns!$A$2:$A$3,"",0)</f>
        <v>Sankranti</v>
      </c>
      <c r="J68" s="6">
        <f t="shared" si="2"/>
        <v>-0.2</v>
      </c>
      <c r="K68">
        <f t="shared" si="3"/>
        <v>1200</v>
      </c>
      <c r="L68" t="str">
        <f>VLOOKUP($B68,dim_stores!$A$1:$C$51,2,0)</f>
        <v>Mangalore</v>
      </c>
    </row>
    <row r="69" spans="1:12" x14ac:dyDescent="0.3">
      <c r="A69" t="s">
        <v>130</v>
      </c>
      <c r="B69" t="s">
        <v>58</v>
      </c>
      <c r="C69" t="s">
        <v>15</v>
      </c>
      <c r="D69" t="s">
        <v>51</v>
      </c>
      <c r="E69">
        <v>290</v>
      </c>
      <c r="F69" t="s">
        <v>17</v>
      </c>
      <c r="G69">
        <v>309</v>
      </c>
      <c r="H69">
        <v>268</v>
      </c>
      <c r="I69" t="str">
        <f>_xlfn.XLOOKUP($C69,dim_campaigns!$D$2:$D$3,dim_campaigns!$A$2:$A$3,"",0)</f>
        <v>Diwali</v>
      </c>
      <c r="J69" s="6">
        <f t="shared" si="2"/>
        <v>-0.13268608414239483</v>
      </c>
      <c r="K69">
        <f t="shared" si="3"/>
        <v>147900</v>
      </c>
      <c r="L69" t="str">
        <f>VLOOKUP($B69,dim_stores!$A$1:$C$51,2,0)</f>
        <v>Chennai</v>
      </c>
    </row>
    <row r="70" spans="1:12" x14ac:dyDescent="0.3">
      <c r="A70" t="s">
        <v>131</v>
      </c>
      <c r="B70" t="s">
        <v>81</v>
      </c>
      <c r="C70" t="s">
        <v>15</v>
      </c>
      <c r="D70" t="s">
        <v>43</v>
      </c>
      <c r="E70">
        <v>415</v>
      </c>
      <c r="F70" t="s">
        <v>17</v>
      </c>
      <c r="G70">
        <v>73</v>
      </c>
      <c r="H70">
        <v>64</v>
      </c>
      <c r="I70" t="str">
        <f>_xlfn.XLOOKUP($C70,dim_campaigns!$D$2:$D$3,dim_campaigns!$A$2:$A$3,"",0)</f>
        <v>Diwali</v>
      </c>
      <c r="J70" s="6">
        <f t="shared" si="2"/>
        <v>-0.12328767123287671</v>
      </c>
      <c r="K70">
        <f t="shared" si="3"/>
        <v>50215</v>
      </c>
      <c r="L70" t="str">
        <f>VLOOKUP($B70,dim_stores!$A$1:$C$51,2,0)</f>
        <v>Madurai</v>
      </c>
    </row>
    <row r="71" spans="1:12" x14ac:dyDescent="0.3">
      <c r="A71" t="s">
        <v>132</v>
      </c>
      <c r="B71" t="s">
        <v>65</v>
      </c>
      <c r="C71" t="s">
        <v>10</v>
      </c>
      <c r="D71" t="s">
        <v>68</v>
      </c>
      <c r="E71">
        <v>1020</v>
      </c>
      <c r="F71" t="s">
        <v>21</v>
      </c>
      <c r="G71">
        <v>100</v>
      </c>
      <c r="H71">
        <v>391</v>
      </c>
      <c r="I71" t="str">
        <f>_xlfn.XLOOKUP($C71,dim_campaigns!$D$2:$D$3,dim_campaigns!$A$2:$A$3,"",0)</f>
        <v>Sankranti</v>
      </c>
      <c r="J71" s="6">
        <f t="shared" si="2"/>
        <v>2.91</v>
      </c>
      <c r="K71">
        <f t="shared" si="3"/>
        <v>301410</v>
      </c>
      <c r="L71" t="str">
        <f>VLOOKUP($B71,dim_stores!$A$1:$C$51,2,0)</f>
        <v>Hyderabad</v>
      </c>
    </row>
    <row r="72" spans="1:12" x14ac:dyDescent="0.3">
      <c r="A72" t="s">
        <v>133</v>
      </c>
      <c r="B72" t="s">
        <v>107</v>
      </c>
      <c r="C72" t="s">
        <v>15</v>
      </c>
      <c r="D72" t="s">
        <v>24</v>
      </c>
      <c r="E72">
        <v>3000</v>
      </c>
      <c r="F72" t="s">
        <v>25</v>
      </c>
      <c r="G72">
        <v>320</v>
      </c>
      <c r="H72">
        <v>937</v>
      </c>
      <c r="I72" t="str">
        <f>_xlfn.XLOOKUP($C72,dim_campaigns!$D$2:$D$3,dim_campaigns!$A$2:$A$3,"",0)</f>
        <v>Diwali</v>
      </c>
      <c r="J72" s="6">
        <f t="shared" si="2"/>
        <v>1.9281250000000001</v>
      </c>
      <c r="K72">
        <f t="shared" si="3"/>
        <v>3302500</v>
      </c>
      <c r="L72" t="str">
        <f>VLOOKUP($B72,dim_stores!$A$1:$C$51,2,0)</f>
        <v>Coimbatore</v>
      </c>
    </row>
    <row r="73" spans="1:12" x14ac:dyDescent="0.3">
      <c r="A73" t="s">
        <v>134</v>
      </c>
      <c r="B73" t="s">
        <v>91</v>
      </c>
      <c r="C73" t="s">
        <v>15</v>
      </c>
      <c r="D73" t="s">
        <v>43</v>
      </c>
      <c r="E73">
        <v>415</v>
      </c>
      <c r="F73" t="s">
        <v>17</v>
      </c>
      <c r="G73">
        <v>106</v>
      </c>
      <c r="H73">
        <v>81</v>
      </c>
      <c r="I73" t="str">
        <f>_xlfn.XLOOKUP($C73,dim_campaigns!$D$2:$D$3,dim_campaigns!$A$2:$A$3,"",0)</f>
        <v>Diwali</v>
      </c>
      <c r="J73" s="6">
        <f t="shared" si="2"/>
        <v>-0.23584905660377359</v>
      </c>
      <c r="K73">
        <f t="shared" si="3"/>
        <v>69201.25</v>
      </c>
      <c r="L73" t="str">
        <f>VLOOKUP($B73,dim_stores!$A$1:$C$51,2,0)</f>
        <v>Hyderabad</v>
      </c>
    </row>
    <row r="74" spans="1:12" x14ac:dyDescent="0.3">
      <c r="A74" t="s">
        <v>135</v>
      </c>
      <c r="B74" t="s">
        <v>65</v>
      </c>
      <c r="C74" t="s">
        <v>10</v>
      </c>
      <c r="D74" t="s">
        <v>32</v>
      </c>
      <c r="E74">
        <v>50</v>
      </c>
      <c r="F74" t="s">
        <v>17</v>
      </c>
      <c r="G74">
        <v>39</v>
      </c>
      <c r="H74">
        <v>35</v>
      </c>
      <c r="I74" t="str">
        <f>_xlfn.XLOOKUP($C74,dim_campaigns!$D$2:$D$3,dim_campaigns!$A$2:$A$3,"",0)</f>
        <v>Sankranti</v>
      </c>
      <c r="J74" s="6">
        <f t="shared" si="2"/>
        <v>-0.10256410256410256</v>
      </c>
      <c r="K74">
        <f t="shared" si="3"/>
        <v>3262.5</v>
      </c>
      <c r="L74" t="str">
        <f>VLOOKUP($B74,dim_stores!$A$1:$C$51,2,0)</f>
        <v>Hyderabad</v>
      </c>
    </row>
    <row r="75" spans="1:12" x14ac:dyDescent="0.3">
      <c r="A75" s="1">
        <v>8.2500000000000004E+90</v>
      </c>
      <c r="B75" t="s">
        <v>50</v>
      </c>
      <c r="C75" t="s">
        <v>15</v>
      </c>
      <c r="D75" t="s">
        <v>28</v>
      </c>
      <c r="E75">
        <v>55</v>
      </c>
      <c r="F75" t="s">
        <v>17</v>
      </c>
      <c r="G75">
        <v>112</v>
      </c>
      <c r="H75">
        <v>88</v>
      </c>
      <c r="I75" t="str">
        <f>_xlfn.XLOOKUP($C75,dim_campaigns!$D$2:$D$3,dim_campaigns!$A$2:$A$3,"",0)</f>
        <v>Diwali</v>
      </c>
      <c r="J75" s="6">
        <f t="shared" si="2"/>
        <v>-0.21428571428571427</v>
      </c>
      <c r="K75">
        <f t="shared" si="3"/>
        <v>9790</v>
      </c>
      <c r="L75" t="str">
        <f>VLOOKUP($B75,dim_stores!$A$1:$C$51,2,0)</f>
        <v>Bengaluru</v>
      </c>
    </row>
    <row r="76" spans="1:12" x14ac:dyDescent="0.3">
      <c r="A76" t="s">
        <v>136</v>
      </c>
      <c r="B76" t="s">
        <v>137</v>
      </c>
      <c r="C76" t="s">
        <v>15</v>
      </c>
      <c r="D76" t="s">
        <v>85</v>
      </c>
      <c r="E76">
        <v>110</v>
      </c>
      <c r="F76" t="s">
        <v>12</v>
      </c>
      <c r="G76">
        <v>36</v>
      </c>
      <c r="H76">
        <v>37</v>
      </c>
      <c r="I76" t="str">
        <f>_xlfn.XLOOKUP($C76,dim_campaigns!$D$2:$D$3,dim_campaigns!$A$2:$A$3,"",0)</f>
        <v>Diwali</v>
      </c>
      <c r="J76" s="6">
        <f t="shared" si="2"/>
        <v>2.7777777777777776E-2</v>
      </c>
      <c r="K76">
        <f t="shared" si="3"/>
        <v>5995</v>
      </c>
      <c r="L76" t="str">
        <f>VLOOKUP($B76,dim_stores!$A$1:$C$51,2,0)</f>
        <v>Mangalore</v>
      </c>
    </row>
    <row r="77" spans="1:12" x14ac:dyDescent="0.3">
      <c r="A77" t="s">
        <v>138</v>
      </c>
      <c r="B77" t="s">
        <v>139</v>
      </c>
      <c r="C77" t="s">
        <v>10</v>
      </c>
      <c r="D77" t="s">
        <v>38</v>
      </c>
      <c r="E77">
        <v>1190</v>
      </c>
      <c r="F77" t="s">
        <v>21</v>
      </c>
      <c r="G77">
        <v>30</v>
      </c>
      <c r="H77">
        <v>81</v>
      </c>
      <c r="I77" t="str">
        <f>_xlfn.XLOOKUP($C77,dim_campaigns!$D$2:$D$3,dim_campaigns!$A$2:$A$3,"",0)</f>
        <v>Sankranti</v>
      </c>
      <c r="J77" s="6">
        <f t="shared" si="2"/>
        <v>1.7</v>
      </c>
      <c r="K77">
        <f t="shared" si="3"/>
        <v>83895</v>
      </c>
      <c r="L77" t="str">
        <f>VLOOKUP($B77,dim_stores!$A$1:$C$51,2,0)</f>
        <v>Visakhapatnam</v>
      </c>
    </row>
    <row r="78" spans="1:12" x14ac:dyDescent="0.3">
      <c r="A78" t="s">
        <v>140</v>
      </c>
      <c r="B78" t="s">
        <v>50</v>
      </c>
      <c r="C78" t="s">
        <v>10</v>
      </c>
      <c r="D78" t="s">
        <v>85</v>
      </c>
      <c r="E78">
        <v>90</v>
      </c>
      <c r="F78" t="s">
        <v>17</v>
      </c>
      <c r="G78">
        <v>58</v>
      </c>
      <c r="H78">
        <v>43</v>
      </c>
      <c r="I78" t="str">
        <f>_xlfn.XLOOKUP($C78,dim_campaigns!$D$2:$D$3,dim_campaigns!$A$2:$A$3,"",0)</f>
        <v>Sankranti</v>
      </c>
      <c r="J78" s="6">
        <f t="shared" si="2"/>
        <v>-0.25862068965517243</v>
      </c>
      <c r="K78">
        <f t="shared" si="3"/>
        <v>8122.5</v>
      </c>
      <c r="L78" t="str">
        <f>VLOOKUP($B78,dim_stores!$A$1:$C$51,2,0)</f>
        <v>Bengaluru</v>
      </c>
    </row>
    <row r="79" spans="1:12" x14ac:dyDescent="0.3">
      <c r="A79" t="s">
        <v>141</v>
      </c>
      <c r="B79" t="s">
        <v>142</v>
      </c>
      <c r="C79" t="s">
        <v>15</v>
      </c>
      <c r="D79" t="s">
        <v>28</v>
      </c>
      <c r="E79">
        <v>55</v>
      </c>
      <c r="F79" t="s">
        <v>17</v>
      </c>
      <c r="G79">
        <v>92</v>
      </c>
      <c r="H79">
        <v>79</v>
      </c>
      <c r="I79" t="str">
        <f>_xlfn.XLOOKUP($C79,dim_campaigns!$D$2:$D$3,dim_campaigns!$A$2:$A$3,"",0)</f>
        <v>Diwali</v>
      </c>
      <c r="J79" s="6">
        <f t="shared" si="2"/>
        <v>-0.14130434782608695</v>
      </c>
      <c r="K79">
        <f t="shared" si="3"/>
        <v>8318.75</v>
      </c>
      <c r="L79" t="str">
        <f>VLOOKUP($B79,dim_stores!$A$1:$C$51,2,0)</f>
        <v>Madurai</v>
      </c>
    </row>
    <row r="80" spans="1:12" x14ac:dyDescent="0.3">
      <c r="A80" t="s">
        <v>143</v>
      </c>
      <c r="B80" t="s">
        <v>89</v>
      </c>
      <c r="C80" t="s">
        <v>10</v>
      </c>
      <c r="D80" t="s">
        <v>11</v>
      </c>
      <c r="E80">
        <v>190</v>
      </c>
      <c r="F80" t="s">
        <v>12</v>
      </c>
      <c r="G80">
        <v>25</v>
      </c>
      <c r="H80">
        <v>35</v>
      </c>
      <c r="I80" t="str">
        <f>_xlfn.XLOOKUP($C80,dim_campaigns!$D$2:$D$3,dim_campaigns!$A$2:$A$3,"",0)</f>
        <v>Sankranti</v>
      </c>
      <c r="J80" s="6">
        <f t="shared" si="2"/>
        <v>0.4</v>
      </c>
      <c r="K80">
        <f t="shared" si="3"/>
        <v>8075</v>
      </c>
      <c r="L80" t="str">
        <f>VLOOKUP($B80,dim_stores!$A$1:$C$51,2,0)</f>
        <v>Vijayawada</v>
      </c>
    </row>
    <row r="81" spans="1:12" x14ac:dyDescent="0.3">
      <c r="A81" t="s">
        <v>144</v>
      </c>
      <c r="B81" t="s">
        <v>40</v>
      </c>
      <c r="C81" t="s">
        <v>15</v>
      </c>
      <c r="D81" t="s">
        <v>16</v>
      </c>
      <c r="E81">
        <v>156</v>
      </c>
      <c r="F81" t="s">
        <v>17</v>
      </c>
      <c r="G81">
        <v>206</v>
      </c>
      <c r="H81">
        <v>179</v>
      </c>
      <c r="I81" t="str">
        <f>_xlfn.XLOOKUP($C81,dim_campaigns!$D$2:$D$3,dim_campaigns!$A$2:$A$3,"",0)</f>
        <v>Diwali</v>
      </c>
      <c r="J81" s="6">
        <f t="shared" si="2"/>
        <v>-0.13106796116504854</v>
      </c>
      <c r="K81">
        <f t="shared" si="3"/>
        <v>53079</v>
      </c>
      <c r="L81" t="str">
        <f>VLOOKUP($B81,dim_stores!$A$1:$C$51,2,0)</f>
        <v>Madurai</v>
      </c>
    </row>
    <row r="82" spans="1:12" x14ac:dyDescent="0.3">
      <c r="A82">
        <v>107747</v>
      </c>
      <c r="B82" t="s">
        <v>103</v>
      </c>
      <c r="C82" t="s">
        <v>10</v>
      </c>
      <c r="D82" t="s">
        <v>53</v>
      </c>
      <c r="E82">
        <v>860</v>
      </c>
      <c r="F82" t="s">
        <v>54</v>
      </c>
      <c r="G82">
        <v>488</v>
      </c>
      <c r="H82">
        <v>580</v>
      </c>
      <c r="I82" t="str">
        <f>_xlfn.XLOOKUP($C82,dim_campaigns!$D$2:$D$3,dim_campaigns!$A$2:$A$3,"",0)</f>
        <v>Sankranti</v>
      </c>
      <c r="J82" s="6">
        <f t="shared" si="2"/>
        <v>0.18852459016393441</v>
      </c>
      <c r="K82">
        <f t="shared" si="3"/>
        <v>753876</v>
      </c>
      <c r="L82" t="str">
        <f>VLOOKUP($B82,dim_stores!$A$1:$C$51,2,0)</f>
        <v>Hyderabad</v>
      </c>
    </row>
    <row r="83" spans="1:12" x14ac:dyDescent="0.3">
      <c r="A83" t="s">
        <v>145</v>
      </c>
      <c r="B83" t="s">
        <v>52</v>
      </c>
      <c r="C83" t="s">
        <v>10</v>
      </c>
      <c r="D83" t="s">
        <v>16</v>
      </c>
      <c r="E83">
        <v>200</v>
      </c>
      <c r="F83" t="s">
        <v>21</v>
      </c>
      <c r="G83">
        <v>223</v>
      </c>
      <c r="H83">
        <v>604</v>
      </c>
      <c r="I83" t="str">
        <f>_xlfn.XLOOKUP($C83,dim_campaigns!$D$2:$D$3,dim_campaigns!$A$2:$A$3,"",0)</f>
        <v>Sankranti</v>
      </c>
      <c r="J83" s="6">
        <f t="shared" si="2"/>
        <v>1.7085201793721974</v>
      </c>
      <c r="K83">
        <f t="shared" si="3"/>
        <v>105000</v>
      </c>
      <c r="L83" t="str">
        <f>VLOOKUP($B83,dim_stores!$A$1:$C$51,2,0)</f>
        <v>Visakhapatnam</v>
      </c>
    </row>
    <row r="84" spans="1:12" x14ac:dyDescent="0.3">
      <c r="A84" t="s">
        <v>146</v>
      </c>
      <c r="B84" t="s">
        <v>27</v>
      </c>
      <c r="C84" t="s">
        <v>15</v>
      </c>
      <c r="D84" t="s">
        <v>20</v>
      </c>
      <c r="E84">
        <v>300</v>
      </c>
      <c r="F84" t="s">
        <v>21</v>
      </c>
      <c r="G84">
        <v>68</v>
      </c>
      <c r="H84">
        <v>263</v>
      </c>
      <c r="I84" t="str">
        <f>_xlfn.XLOOKUP($C84,dim_campaigns!$D$2:$D$3,dim_campaigns!$A$2:$A$3,"",0)</f>
        <v>Diwali</v>
      </c>
      <c r="J84" s="6">
        <f t="shared" si="2"/>
        <v>2.8676470588235294</v>
      </c>
      <c r="K84">
        <f t="shared" si="3"/>
        <v>59850</v>
      </c>
      <c r="L84" t="str">
        <f>VLOOKUP($B84,dim_stores!$A$1:$C$51,2,0)</f>
        <v>Bengaluru</v>
      </c>
    </row>
    <row r="85" spans="1:12" x14ac:dyDescent="0.3">
      <c r="A85" t="s">
        <v>147</v>
      </c>
      <c r="B85" t="s">
        <v>19</v>
      </c>
      <c r="C85" t="s">
        <v>15</v>
      </c>
      <c r="D85" t="s">
        <v>32</v>
      </c>
      <c r="E85">
        <v>65</v>
      </c>
      <c r="F85" t="s">
        <v>12</v>
      </c>
      <c r="G85">
        <v>57</v>
      </c>
      <c r="H85">
        <v>75</v>
      </c>
      <c r="I85" t="str">
        <f>_xlfn.XLOOKUP($C85,dim_campaigns!$D$2:$D$3,dim_campaigns!$A$2:$A$3,"",0)</f>
        <v>Diwali</v>
      </c>
      <c r="J85" s="6">
        <f t="shared" si="2"/>
        <v>0.31578947368421051</v>
      </c>
      <c r="K85">
        <f t="shared" si="3"/>
        <v>6142.5</v>
      </c>
      <c r="L85" t="str">
        <f>VLOOKUP($B85,dim_stores!$A$1:$C$51,2,0)</f>
        <v>Vijayawada</v>
      </c>
    </row>
    <row r="86" spans="1:12" x14ac:dyDescent="0.3">
      <c r="A86" t="s">
        <v>148</v>
      </c>
      <c r="B86" t="s">
        <v>123</v>
      </c>
      <c r="C86" t="s">
        <v>15</v>
      </c>
      <c r="D86" t="s">
        <v>35</v>
      </c>
      <c r="E86">
        <v>350</v>
      </c>
      <c r="F86" t="s">
        <v>21</v>
      </c>
      <c r="G86">
        <v>77</v>
      </c>
      <c r="H86">
        <v>232</v>
      </c>
      <c r="I86" t="str">
        <f>_xlfn.XLOOKUP($C86,dim_campaigns!$D$2:$D$3,dim_campaigns!$A$2:$A$3,"",0)</f>
        <v>Diwali</v>
      </c>
      <c r="J86" s="6">
        <f t="shared" si="2"/>
        <v>2.0129870129870131</v>
      </c>
      <c r="K86">
        <f t="shared" si="3"/>
        <v>67550</v>
      </c>
      <c r="L86" t="str">
        <f>VLOOKUP($B86,dim_stores!$A$1:$C$51,2,0)</f>
        <v>Bengaluru</v>
      </c>
    </row>
    <row r="87" spans="1:12" x14ac:dyDescent="0.3">
      <c r="A87" t="s">
        <v>149</v>
      </c>
      <c r="B87" t="s">
        <v>95</v>
      </c>
      <c r="C87" t="s">
        <v>10</v>
      </c>
      <c r="D87" t="s">
        <v>53</v>
      </c>
      <c r="E87">
        <v>860</v>
      </c>
      <c r="F87" t="s">
        <v>54</v>
      </c>
      <c r="G87">
        <v>465</v>
      </c>
      <c r="H87">
        <v>646</v>
      </c>
      <c r="I87" t="str">
        <f>_xlfn.XLOOKUP($C87,dim_campaigns!$D$2:$D$3,dim_campaigns!$A$2:$A$3,"",0)</f>
        <v>Sankranti</v>
      </c>
      <c r="J87" s="6">
        <f t="shared" si="2"/>
        <v>0.38924731182795697</v>
      </c>
      <c r="K87">
        <f t="shared" si="3"/>
        <v>772125.2</v>
      </c>
      <c r="L87" t="str">
        <f>VLOOKUP($B87,dim_stores!$A$1:$C$51,2,0)</f>
        <v>Hyderabad</v>
      </c>
    </row>
    <row r="88" spans="1:12" x14ac:dyDescent="0.3">
      <c r="A88">
        <v>987463</v>
      </c>
      <c r="B88" t="s">
        <v>67</v>
      </c>
      <c r="C88" t="s">
        <v>10</v>
      </c>
      <c r="D88" t="s">
        <v>20</v>
      </c>
      <c r="E88">
        <v>300</v>
      </c>
      <c r="F88" t="s">
        <v>21</v>
      </c>
      <c r="G88">
        <v>45</v>
      </c>
      <c r="H88">
        <v>185</v>
      </c>
      <c r="I88" t="str">
        <f>_xlfn.XLOOKUP($C88,dim_campaigns!$D$2:$D$3,dim_campaigns!$A$2:$A$3,"",0)</f>
        <v>Sankranti</v>
      </c>
      <c r="J88" s="6">
        <f t="shared" si="2"/>
        <v>3.1111111111111112</v>
      </c>
      <c r="K88">
        <f t="shared" si="3"/>
        <v>41250</v>
      </c>
      <c r="L88" t="str">
        <f>VLOOKUP($B88,dim_stores!$A$1:$C$51,2,0)</f>
        <v>Bengaluru</v>
      </c>
    </row>
    <row r="89" spans="1:12" x14ac:dyDescent="0.3">
      <c r="A89" t="s">
        <v>150</v>
      </c>
      <c r="B89" t="s">
        <v>91</v>
      </c>
      <c r="C89" t="s">
        <v>10</v>
      </c>
      <c r="D89" t="s">
        <v>32</v>
      </c>
      <c r="E89">
        <v>50</v>
      </c>
      <c r="F89" t="s">
        <v>17</v>
      </c>
      <c r="G89">
        <v>39</v>
      </c>
      <c r="H89">
        <v>29</v>
      </c>
      <c r="I89" t="str">
        <f>_xlfn.XLOOKUP($C89,dim_campaigns!$D$2:$D$3,dim_campaigns!$A$2:$A$3,"",0)</f>
        <v>Sankranti</v>
      </c>
      <c r="J89" s="6">
        <f t="shared" si="2"/>
        <v>-0.25641025641025639</v>
      </c>
      <c r="K89">
        <f t="shared" si="3"/>
        <v>3037.5</v>
      </c>
      <c r="L89" t="str">
        <f>VLOOKUP($B89,dim_stores!$A$1:$C$51,2,0)</f>
        <v>Hyderabad</v>
      </c>
    </row>
    <row r="90" spans="1:12" x14ac:dyDescent="0.3">
      <c r="A90" t="s">
        <v>151</v>
      </c>
      <c r="B90" t="s">
        <v>93</v>
      </c>
      <c r="C90" t="s">
        <v>10</v>
      </c>
      <c r="D90" t="s">
        <v>32</v>
      </c>
      <c r="E90">
        <v>50</v>
      </c>
      <c r="F90" t="s">
        <v>17</v>
      </c>
      <c r="G90">
        <v>36</v>
      </c>
      <c r="H90">
        <v>29</v>
      </c>
      <c r="I90" t="str">
        <f>_xlfn.XLOOKUP($C90,dim_campaigns!$D$2:$D$3,dim_campaigns!$A$2:$A$3,"",0)</f>
        <v>Sankranti</v>
      </c>
      <c r="J90" s="6">
        <f t="shared" si="2"/>
        <v>-0.19444444444444445</v>
      </c>
      <c r="K90">
        <f t="shared" si="3"/>
        <v>2887.5</v>
      </c>
      <c r="L90" t="str">
        <f>VLOOKUP($B90,dim_stores!$A$1:$C$51,2,0)</f>
        <v>Bengaluru</v>
      </c>
    </row>
    <row r="91" spans="1:12" x14ac:dyDescent="0.3">
      <c r="A91" t="s">
        <v>152</v>
      </c>
      <c r="B91" t="s">
        <v>96</v>
      </c>
      <c r="C91" t="s">
        <v>10</v>
      </c>
      <c r="D91" t="s">
        <v>38</v>
      </c>
      <c r="E91">
        <v>1190</v>
      </c>
      <c r="F91" t="s">
        <v>21</v>
      </c>
      <c r="G91">
        <v>34</v>
      </c>
      <c r="H91">
        <v>147</v>
      </c>
      <c r="I91" t="str">
        <f>_xlfn.XLOOKUP($C91,dim_campaigns!$D$2:$D$3,dim_campaigns!$A$2:$A$3,"",0)</f>
        <v>Sankranti</v>
      </c>
      <c r="J91" s="6">
        <f t="shared" si="2"/>
        <v>3.3235294117647061</v>
      </c>
      <c r="K91">
        <f t="shared" si="3"/>
        <v>127925</v>
      </c>
      <c r="L91" t="str">
        <f>VLOOKUP($B91,dim_stores!$A$1:$C$51,2,0)</f>
        <v>Mysuru</v>
      </c>
    </row>
    <row r="92" spans="1:12" x14ac:dyDescent="0.3">
      <c r="A92" t="s">
        <v>153</v>
      </c>
      <c r="B92" t="s">
        <v>47</v>
      </c>
      <c r="C92" t="s">
        <v>15</v>
      </c>
      <c r="D92" t="s">
        <v>35</v>
      </c>
      <c r="E92">
        <v>350</v>
      </c>
      <c r="F92" t="s">
        <v>21</v>
      </c>
      <c r="G92">
        <v>75</v>
      </c>
      <c r="H92">
        <v>252</v>
      </c>
      <c r="I92" t="str">
        <f>_xlfn.XLOOKUP($C92,dim_campaigns!$D$2:$D$3,dim_campaigns!$A$2:$A$3,"",0)</f>
        <v>Diwali</v>
      </c>
      <c r="J92" s="6">
        <f t="shared" si="2"/>
        <v>2.36</v>
      </c>
      <c r="K92">
        <f t="shared" si="3"/>
        <v>70350</v>
      </c>
      <c r="L92" t="str">
        <f>VLOOKUP($B92,dim_stores!$A$1:$C$51,2,0)</f>
        <v>Chennai</v>
      </c>
    </row>
    <row r="93" spans="1:12" x14ac:dyDescent="0.3">
      <c r="A93" t="s">
        <v>154</v>
      </c>
      <c r="B93" t="s">
        <v>75</v>
      </c>
      <c r="C93" t="s">
        <v>10</v>
      </c>
      <c r="D93" t="s">
        <v>85</v>
      </c>
      <c r="E93">
        <v>90</v>
      </c>
      <c r="F93" t="s">
        <v>17</v>
      </c>
      <c r="G93">
        <v>45</v>
      </c>
      <c r="H93">
        <v>38</v>
      </c>
      <c r="I93" t="str">
        <f>_xlfn.XLOOKUP($C93,dim_campaigns!$D$2:$D$3,dim_campaigns!$A$2:$A$3,"",0)</f>
        <v>Sankranti</v>
      </c>
      <c r="J93" s="6">
        <f t="shared" si="2"/>
        <v>-0.15555555555555556</v>
      </c>
      <c r="K93">
        <f t="shared" si="3"/>
        <v>6615</v>
      </c>
      <c r="L93" t="str">
        <f>VLOOKUP($B93,dim_stores!$A$1:$C$51,2,0)</f>
        <v>Madurai</v>
      </c>
    </row>
    <row r="94" spans="1:12" x14ac:dyDescent="0.3">
      <c r="A94" t="s">
        <v>155</v>
      </c>
      <c r="B94" t="s">
        <v>19</v>
      </c>
      <c r="C94" t="s">
        <v>10</v>
      </c>
      <c r="D94" t="s">
        <v>24</v>
      </c>
      <c r="E94">
        <v>3000</v>
      </c>
      <c r="F94" t="s">
        <v>25</v>
      </c>
      <c r="G94">
        <v>63</v>
      </c>
      <c r="H94">
        <v>151</v>
      </c>
      <c r="I94" t="str">
        <f>_xlfn.XLOOKUP($C94,dim_campaigns!$D$2:$D$3,dim_campaigns!$A$2:$A$3,"",0)</f>
        <v>Sankranti</v>
      </c>
      <c r="J94" s="6">
        <f t="shared" si="2"/>
        <v>1.3968253968253967</v>
      </c>
      <c r="K94">
        <f t="shared" si="3"/>
        <v>566500</v>
      </c>
      <c r="L94" t="str">
        <f>VLOOKUP($B94,dim_stores!$A$1:$C$51,2,0)</f>
        <v>Vijayawada</v>
      </c>
    </row>
    <row r="95" spans="1:12" x14ac:dyDescent="0.3">
      <c r="A95" t="s">
        <v>156</v>
      </c>
      <c r="B95" t="s">
        <v>103</v>
      </c>
      <c r="C95" t="s">
        <v>15</v>
      </c>
      <c r="D95" t="s">
        <v>53</v>
      </c>
      <c r="E95">
        <v>860</v>
      </c>
      <c r="F95" t="s">
        <v>54</v>
      </c>
      <c r="G95">
        <v>351</v>
      </c>
      <c r="H95">
        <v>449</v>
      </c>
      <c r="I95" t="str">
        <f>_xlfn.XLOOKUP($C95,dim_campaigns!$D$2:$D$3,dim_campaigns!$A$2:$A$3,"",0)</f>
        <v>Diwali</v>
      </c>
      <c r="J95" s="6">
        <f t="shared" si="2"/>
        <v>0.27920227920227919</v>
      </c>
      <c r="K95">
        <f t="shared" si="3"/>
        <v>560573.80000000005</v>
      </c>
      <c r="L95" t="str">
        <f>VLOOKUP($B95,dim_stores!$A$1:$C$51,2,0)</f>
        <v>Hyderabad</v>
      </c>
    </row>
    <row r="96" spans="1:12" x14ac:dyDescent="0.3">
      <c r="A96" t="s">
        <v>157</v>
      </c>
      <c r="B96" t="s">
        <v>139</v>
      </c>
      <c r="C96" t="s">
        <v>10</v>
      </c>
      <c r="D96" t="s">
        <v>32</v>
      </c>
      <c r="E96">
        <v>50</v>
      </c>
      <c r="F96" t="s">
        <v>17</v>
      </c>
      <c r="G96">
        <v>27</v>
      </c>
      <c r="H96">
        <v>21</v>
      </c>
      <c r="I96" t="str">
        <f>_xlfn.XLOOKUP($C96,dim_campaigns!$D$2:$D$3,dim_campaigns!$A$2:$A$3,"",0)</f>
        <v>Sankranti</v>
      </c>
      <c r="J96" s="6">
        <f t="shared" si="2"/>
        <v>-0.22222222222222221</v>
      </c>
      <c r="K96">
        <f t="shared" si="3"/>
        <v>2137.5</v>
      </c>
      <c r="L96" t="str">
        <f>VLOOKUP($B96,dim_stores!$A$1:$C$51,2,0)</f>
        <v>Visakhapatnam</v>
      </c>
    </row>
    <row r="97" spans="1:12" x14ac:dyDescent="0.3">
      <c r="A97" t="s">
        <v>158</v>
      </c>
      <c r="B97" t="s">
        <v>117</v>
      </c>
      <c r="C97" t="s">
        <v>15</v>
      </c>
      <c r="D97" t="s">
        <v>28</v>
      </c>
      <c r="E97">
        <v>55</v>
      </c>
      <c r="F97" t="s">
        <v>17</v>
      </c>
      <c r="G97">
        <v>54</v>
      </c>
      <c r="H97">
        <v>48</v>
      </c>
      <c r="I97" t="str">
        <f>_xlfn.XLOOKUP($C97,dim_campaigns!$D$2:$D$3,dim_campaigns!$A$2:$A$3,"",0)</f>
        <v>Diwali</v>
      </c>
      <c r="J97" s="6">
        <f t="shared" si="2"/>
        <v>-0.1111111111111111</v>
      </c>
      <c r="K97">
        <f t="shared" si="3"/>
        <v>4950</v>
      </c>
      <c r="L97" t="str">
        <f>VLOOKUP($B97,dim_stores!$A$1:$C$51,2,0)</f>
        <v>Mangalore</v>
      </c>
    </row>
    <row r="98" spans="1:12" x14ac:dyDescent="0.3">
      <c r="A98" t="s">
        <v>159</v>
      </c>
      <c r="B98" t="s">
        <v>52</v>
      </c>
      <c r="C98" t="s">
        <v>10</v>
      </c>
      <c r="D98" t="s">
        <v>24</v>
      </c>
      <c r="E98">
        <v>3000</v>
      </c>
      <c r="F98" t="s">
        <v>25</v>
      </c>
      <c r="G98">
        <v>100</v>
      </c>
      <c r="H98">
        <v>175</v>
      </c>
      <c r="I98" t="str">
        <f>_xlfn.XLOOKUP($C98,dim_campaigns!$D$2:$D$3,dim_campaigns!$A$2:$A$3,"",0)</f>
        <v>Sankranti</v>
      </c>
      <c r="J98" s="6">
        <f t="shared" si="2"/>
        <v>0.75</v>
      </c>
      <c r="K98">
        <f t="shared" si="3"/>
        <v>737500</v>
      </c>
      <c r="L98" t="str">
        <f>VLOOKUP($B98,dim_stores!$A$1:$C$51,2,0)</f>
        <v>Visakhapatnam</v>
      </c>
    </row>
    <row r="99" spans="1:12" x14ac:dyDescent="0.3">
      <c r="A99" t="s">
        <v>160</v>
      </c>
      <c r="B99" t="s">
        <v>161</v>
      </c>
      <c r="C99" t="s">
        <v>10</v>
      </c>
      <c r="D99" t="s">
        <v>51</v>
      </c>
      <c r="E99">
        <v>370</v>
      </c>
      <c r="F99" t="s">
        <v>21</v>
      </c>
      <c r="G99">
        <v>423</v>
      </c>
      <c r="H99">
        <v>1801</v>
      </c>
      <c r="I99" t="str">
        <f>_xlfn.XLOOKUP($C99,dim_campaigns!$D$2:$D$3,dim_campaigns!$A$2:$A$3,"",0)</f>
        <v>Sankranti</v>
      </c>
      <c r="J99" s="6">
        <f t="shared" si="2"/>
        <v>3.2576832151300237</v>
      </c>
      <c r="K99">
        <f t="shared" si="3"/>
        <v>489695</v>
      </c>
      <c r="L99" t="str">
        <f>VLOOKUP($B99,dim_stores!$A$1:$C$51,2,0)</f>
        <v>Chennai</v>
      </c>
    </row>
    <row r="100" spans="1:12" x14ac:dyDescent="0.3">
      <c r="A100" t="s">
        <v>162</v>
      </c>
      <c r="B100" t="s">
        <v>63</v>
      </c>
      <c r="C100" t="s">
        <v>15</v>
      </c>
      <c r="D100" t="s">
        <v>28</v>
      </c>
      <c r="E100">
        <v>55</v>
      </c>
      <c r="F100" t="s">
        <v>17</v>
      </c>
      <c r="G100">
        <v>64</v>
      </c>
      <c r="H100">
        <v>49</v>
      </c>
      <c r="I100" t="str">
        <f>_xlfn.XLOOKUP($C100,dim_campaigns!$D$2:$D$3,dim_campaigns!$A$2:$A$3,"",0)</f>
        <v>Diwali</v>
      </c>
      <c r="J100" s="6">
        <f t="shared" si="2"/>
        <v>-0.234375</v>
      </c>
      <c r="K100">
        <f t="shared" si="3"/>
        <v>5541.25</v>
      </c>
      <c r="L100" t="str">
        <f>VLOOKUP($B100,dim_stores!$A$1:$C$51,2,0)</f>
        <v>Visakhapatnam</v>
      </c>
    </row>
    <row r="101" spans="1:12" x14ac:dyDescent="0.3">
      <c r="A101">
        <v>873333</v>
      </c>
      <c r="B101" t="s">
        <v>126</v>
      </c>
      <c r="C101" t="s">
        <v>15</v>
      </c>
      <c r="D101" t="s">
        <v>24</v>
      </c>
      <c r="E101">
        <v>3000</v>
      </c>
      <c r="F101" t="s">
        <v>25</v>
      </c>
      <c r="G101">
        <v>196</v>
      </c>
      <c r="H101">
        <v>509</v>
      </c>
      <c r="I101" t="str">
        <f>_xlfn.XLOOKUP($C101,dim_campaigns!$D$2:$D$3,dim_campaigns!$A$2:$A$3,"",0)</f>
        <v>Diwali</v>
      </c>
      <c r="J101" s="6">
        <f t="shared" si="2"/>
        <v>1.596938775510204</v>
      </c>
      <c r="K101">
        <f t="shared" si="3"/>
        <v>1860500</v>
      </c>
      <c r="L101" t="str">
        <f>VLOOKUP($B101,dim_stores!$A$1:$C$51,2,0)</f>
        <v>Mangalore</v>
      </c>
    </row>
    <row r="102" spans="1:12" x14ac:dyDescent="0.3">
      <c r="A102" t="s">
        <v>163</v>
      </c>
      <c r="B102" t="s">
        <v>126</v>
      </c>
      <c r="C102" t="s">
        <v>10</v>
      </c>
      <c r="D102" t="s">
        <v>28</v>
      </c>
      <c r="E102">
        <v>55</v>
      </c>
      <c r="F102" t="s">
        <v>17</v>
      </c>
      <c r="G102">
        <v>15</v>
      </c>
      <c r="H102">
        <v>12</v>
      </c>
      <c r="I102" t="str">
        <f>_xlfn.XLOOKUP($C102,dim_campaigns!$D$2:$D$3,dim_campaigns!$A$2:$A$3,"",0)</f>
        <v>Sankranti</v>
      </c>
      <c r="J102" s="6">
        <f t="shared" si="2"/>
        <v>-0.2</v>
      </c>
      <c r="K102">
        <f t="shared" si="3"/>
        <v>1320</v>
      </c>
      <c r="L102" t="str">
        <f>VLOOKUP($B102,dim_stores!$A$1:$C$51,2,0)</f>
        <v>Mangalore</v>
      </c>
    </row>
    <row r="103" spans="1:12" x14ac:dyDescent="0.3">
      <c r="A103" t="s">
        <v>164</v>
      </c>
      <c r="B103" t="s">
        <v>137</v>
      </c>
      <c r="C103" t="s">
        <v>10</v>
      </c>
      <c r="D103" t="s">
        <v>24</v>
      </c>
      <c r="E103">
        <v>3000</v>
      </c>
      <c r="F103" t="s">
        <v>25</v>
      </c>
      <c r="G103">
        <v>66</v>
      </c>
      <c r="H103">
        <v>147</v>
      </c>
      <c r="I103" t="str">
        <f>_xlfn.XLOOKUP($C103,dim_campaigns!$D$2:$D$3,dim_campaigns!$A$2:$A$3,"",0)</f>
        <v>Sankranti</v>
      </c>
      <c r="J103" s="6">
        <f t="shared" si="2"/>
        <v>1.2272727272727273</v>
      </c>
      <c r="K103">
        <f t="shared" si="3"/>
        <v>565500</v>
      </c>
      <c r="L103" t="str">
        <f>VLOOKUP($B103,dim_stores!$A$1:$C$51,2,0)</f>
        <v>Mangalore</v>
      </c>
    </row>
    <row r="104" spans="1:12" x14ac:dyDescent="0.3">
      <c r="A104" t="s">
        <v>165</v>
      </c>
      <c r="B104" t="s">
        <v>45</v>
      </c>
      <c r="C104" t="s">
        <v>10</v>
      </c>
      <c r="D104" t="s">
        <v>35</v>
      </c>
      <c r="E104">
        <v>350</v>
      </c>
      <c r="F104" t="s">
        <v>21</v>
      </c>
      <c r="G104">
        <v>100</v>
      </c>
      <c r="H104">
        <v>403</v>
      </c>
      <c r="I104" t="str">
        <f>_xlfn.XLOOKUP($C104,dim_campaigns!$D$2:$D$3,dim_campaigns!$A$2:$A$3,"",0)</f>
        <v>Sankranti</v>
      </c>
      <c r="J104" s="6">
        <f t="shared" si="2"/>
        <v>3.03</v>
      </c>
      <c r="K104">
        <f t="shared" si="3"/>
        <v>105525</v>
      </c>
      <c r="L104" t="str">
        <f>VLOOKUP($B104,dim_stores!$A$1:$C$51,2,0)</f>
        <v>Hyderabad</v>
      </c>
    </row>
    <row r="105" spans="1:12" x14ac:dyDescent="0.3">
      <c r="A105" t="s">
        <v>166</v>
      </c>
      <c r="B105" t="s">
        <v>103</v>
      </c>
      <c r="C105" t="s">
        <v>10</v>
      </c>
      <c r="D105" t="s">
        <v>35</v>
      </c>
      <c r="E105">
        <v>350</v>
      </c>
      <c r="F105" t="s">
        <v>21</v>
      </c>
      <c r="G105">
        <v>122</v>
      </c>
      <c r="H105">
        <v>326</v>
      </c>
      <c r="I105" t="str">
        <f>_xlfn.XLOOKUP($C105,dim_campaigns!$D$2:$D$3,dim_campaigns!$A$2:$A$3,"",0)</f>
        <v>Sankranti</v>
      </c>
      <c r="J105" s="6">
        <f t="shared" si="2"/>
        <v>1.6721311475409837</v>
      </c>
      <c r="K105">
        <f t="shared" si="3"/>
        <v>99750</v>
      </c>
      <c r="L105" t="str">
        <f>VLOOKUP($B105,dim_stores!$A$1:$C$51,2,0)</f>
        <v>Hyderabad</v>
      </c>
    </row>
    <row r="106" spans="1:12" x14ac:dyDescent="0.3">
      <c r="A106" t="s">
        <v>167</v>
      </c>
      <c r="B106" t="s">
        <v>110</v>
      </c>
      <c r="C106" t="s">
        <v>10</v>
      </c>
      <c r="D106" t="s">
        <v>38</v>
      </c>
      <c r="E106">
        <v>1190</v>
      </c>
      <c r="F106" t="s">
        <v>21</v>
      </c>
      <c r="G106">
        <v>51</v>
      </c>
      <c r="H106">
        <v>196</v>
      </c>
      <c r="I106" t="str">
        <f>_xlfn.XLOOKUP($C106,dim_campaigns!$D$2:$D$3,dim_campaigns!$A$2:$A$3,"",0)</f>
        <v>Sankranti</v>
      </c>
      <c r="J106" s="6">
        <f t="shared" si="2"/>
        <v>2.8431372549019609</v>
      </c>
      <c r="K106">
        <f t="shared" si="3"/>
        <v>177310</v>
      </c>
      <c r="L106" t="str">
        <f>VLOOKUP($B106,dim_stores!$A$1:$C$51,2,0)</f>
        <v>Chennai</v>
      </c>
    </row>
    <row r="107" spans="1:12" x14ac:dyDescent="0.3">
      <c r="A107" t="s">
        <v>168</v>
      </c>
      <c r="B107" t="s">
        <v>19</v>
      </c>
      <c r="C107" t="s">
        <v>10</v>
      </c>
      <c r="D107" t="s">
        <v>16</v>
      </c>
      <c r="E107">
        <v>200</v>
      </c>
      <c r="F107" t="s">
        <v>21</v>
      </c>
      <c r="G107">
        <v>193</v>
      </c>
      <c r="H107">
        <v>773</v>
      </c>
      <c r="I107" t="str">
        <f>_xlfn.XLOOKUP($C107,dim_campaigns!$D$2:$D$3,dim_campaigns!$A$2:$A$3,"",0)</f>
        <v>Sankranti</v>
      </c>
      <c r="J107" s="6">
        <f t="shared" si="2"/>
        <v>3.0051813471502591</v>
      </c>
      <c r="K107">
        <f t="shared" si="3"/>
        <v>115900</v>
      </c>
      <c r="L107" t="str">
        <f>VLOOKUP($B107,dim_stores!$A$1:$C$51,2,0)</f>
        <v>Vijayawada</v>
      </c>
    </row>
    <row r="108" spans="1:12" x14ac:dyDescent="0.3">
      <c r="A108" t="s">
        <v>169</v>
      </c>
      <c r="B108" t="s">
        <v>60</v>
      </c>
      <c r="C108" t="s">
        <v>10</v>
      </c>
      <c r="D108" t="s">
        <v>53</v>
      </c>
      <c r="E108">
        <v>860</v>
      </c>
      <c r="F108" t="s">
        <v>54</v>
      </c>
      <c r="G108">
        <v>241</v>
      </c>
      <c r="H108">
        <v>344</v>
      </c>
      <c r="I108" t="str">
        <f>_xlfn.XLOOKUP($C108,dim_campaigns!$D$2:$D$3,dim_campaigns!$A$2:$A$3,"",0)</f>
        <v>Sankranti</v>
      </c>
      <c r="J108" s="6">
        <f t="shared" si="2"/>
        <v>0.42738589211618255</v>
      </c>
      <c r="K108">
        <f t="shared" si="3"/>
        <v>405472.80000000005</v>
      </c>
      <c r="L108" t="str">
        <f>VLOOKUP($B108,dim_stores!$A$1:$C$51,2,0)</f>
        <v>Trivandrum</v>
      </c>
    </row>
    <row r="109" spans="1:12" x14ac:dyDescent="0.3">
      <c r="A109">
        <v>300664</v>
      </c>
      <c r="B109" t="s">
        <v>65</v>
      </c>
      <c r="C109" t="s">
        <v>15</v>
      </c>
      <c r="D109" t="s">
        <v>35</v>
      </c>
      <c r="E109">
        <v>350</v>
      </c>
      <c r="F109" t="s">
        <v>21</v>
      </c>
      <c r="G109">
        <v>80</v>
      </c>
      <c r="H109">
        <v>276</v>
      </c>
      <c r="I109" t="str">
        <f>_xlfn.XLOOKUP($C109,dim_campaigns!$D$2:$D$3,dim_campaigns!$A$2:$A$3,"",0)</f>
        <v>Diwali</v>
      </c>
      <c r="J109" s="6">
        <f t="shared" si="2"/>
        <v>2.4500000000000002</v>
      </c>
      <c r="K109">
        <f t="shared" si="3"/>
        <v>76300</v>
      </c>
      <c r="L109" t="str">
        <f>VLOOKUP($B109,dim_stores!$A$1:$C$51,2,0)</f>
        <v>Hyderabad</v>
      </c>
    </row>
    <row r="110" spans="1:12" x14ac:dyDescent="0.3">
      <c r="A110" t="s">
        <v>170</v>
      </c>
      <c r="B110" t="s">
        <v>103</v>
      </c>
      <c r="C110" t="s">
        <v>15</v>
      </c>
      <c r="D110" t="s">
        <v>43</v>
      </c>
      <c r="E110">
        <v>415</v>
      </c>
      <c r="F110" t="s">
        <v>17</v>
      </c>
      <c r="G110">
        <v>103</v>
      </c>
      <c r="H110">
        <v>88</v>
      </c>
      <c r="I110" t="str">
        <f>_xlfn.XLOOKUP($C110,dim_campaigns!$D$2:$D$3,dim_campaigns!$A$2:$A$3,"",0)</f>
        <v>Diwali</v>
      </c>
      <c r="J110" s="6">
        <f t="shared" si="2"/>
        <v>-0.14563106796116504</v>
      </c>
      <c r="K110">
        <f t="shared" si="3"/>
        <v>70135</v>
      </c>
      <c r="L110" t="str">
        <f>VLOOKUP($B110,dim_stores!$A$1:$C$51,2,0)</f>
        <v>Hyderabad</v>
      </c>
    </row>
    <row r="111" spans="1:12" x14ac:dyDescent="0.3">
      <c r="A111" t="s">
        <v>171</v>
      </c>
      <c r="B111" t="s">
        <v>96</v>
      </c>
      <c r="C111" t="s">
        <v>10</v>
      </c>
      <c r="D111" t="s">
        <v>61</v>
      </c>
      <c r="E111">
        <v>172</v>
      </c>
      <c r="F111" t="s">
        <v>54</v>
      </c>
      <c r="G111">
        <v>232</v>
      </c>
      <c r="H111">
        <v>294</v>
      </c>
      <c r="I111" t="str">
        <f>_xlfn.XLOOKUP($C111,dim_campaigns!$D$2:$D$3,dim_campaigns!$A$2:$A$3,"",0)</f>
        <v>Sankranti</v>
      </c>
      <c r="J111" s="6">
        <f t="shared" si="2"/>
        <v>0.26724137931034481</v>
      </c>
      <c r="K111">
        <f t="shared" si="3"/>
        <v>73784.56</v>
      </c>
      <c r="L111" t="str">
        <f>VLOOKUP($B111,dim_stores!$A$1:$C$51,2,0)</f>
        <v>Mysuru</v>
      </c>
    </row>
    <row r="112" spans="1:12" x14ac:dyDescent="0.3">
      <c r="A112" t="s">
        <v>172</v>
      </c>
      <c r="B112" t="s">
        <v>81</v>
      </c>
      <c r="C112" t="s">
        <v>10</v>
      </c>
      <c r="D112" t="s">
        <v>53</v>
      </c>
      <c r="E112">
        <v>860</v>
      </c>
      <c r="F112" t="s">
        <v>54</v>
      </c>
      <c r="G112">
        <v>318</v>
      </c>
      <c r="H112">
        <v>448</v>
      </c>
      <c r="I112" t="str">
        <f>_xlfn.XLOOKUP($C112,dim_campaigns!$D$2:$D$3,dim_campaigns!$A$2:$A$3,"",0)</f>
        <v>Sankranti</v>
      </c>
      <c r="J112" s="6">
        <f t="shared" si="2"/>
        <v>0.4088050314465409</v>
      </c>
      <c r="K112">
        <f t="shared" si="3"/>
        <v>531617.60000000009</v>
      </c>
      <c r="L112" t="str">
        <f>VLOOKUP($B112,dim_stores!$A$1:$C$51,2,0)</f>
        <v>Madurai</v>
      </c>
    </row>
    <row r="113" spans="1:12" x14ac:dyDescent="0.3">
      <c r="A113" t="s">
        <v>173</v>
      </c>
      <c r="B113" t="s">
        <v>174</v>
      </c>
      <c r="C113" t="s">
        <v>15</v>
      </c>
      <c r="D113" t="s">
        <v>16</v>
      </c>
      <c r="E113">
        <v>156</v>
      </c>
      <c r="F113" t="s">
        <v>17</v>
      </c>
      <c r="G113">
        <v>166</v>
      </c>
      <c r="H113">
        <v>157</v>
      </c>
      <c r="I113" t="str">
        <f>_xlfn.XLOOKUP($C113,dim_campaigns!$D$2:$D$3,dim_campaigns!$A$2:$A$3,"",0)</f>
        <v>Diwali</v>
      </c>
      <c r="J113" s="6">
        <f t="shared" si="2"/>
        <v>-5.4216867469879519E-2</v>
      </c>
      <c r="K113">
        <f t="shared" si="3"/>
        <v>44265</v>
      </c>
      <c r="L113" t="str">
        <f>VLOOKUP($B113,dim_stores!$A$1:$C$51,2,0)</f>
        <v>Trivandrum</v>
      </c>
    </row>
    <row r="114" spans="1:12" x14ac:dyDescent="0.3">
      <c r="A114" t="s">
        <v>175</v>
      </c>
      <c r="B114" t="s">
        <v>93</v>
      </c>
      <c r="C114" t="s">
        <v>15</v>
      </c>
      <c r="D114" t="s">
        <v>43</v>
      </c>
      <c r="E114">
        <v>415</v>
      </c>
      <c r="F114" t="s">
        <v>17</v>
      </c>
      <c r="G114">
        <v>101</v>
      </c>
      <c r="H114">
        <v>90</v>
      </c>
      <c r="I114" t="str">
        <f>_xlfn.XLOOKUP($C114,dim_campaigns!$D$2:$D$3,dim_campaigns!$A$2:$A$3,"",0)</f>
        <v>Diwali</v>
      </c>
      <c r="J114" s="6">
        <f t="shared" si="2"/>
        <v>-0.10891089108910891</v>
      </c>
      <c r="K114">
        <f t="shared" si="3"/>
        <v>69927.5</v>
      </c>
      <c r="L114" t="str">
        <f>VLOOKUP($B114,dim_stores!$A$1:$C$51,2,0)</f>
        <v>Bengaluru</v>
      </c>
    </row>
    <row r="115" spans="1:12" x14ac:dyDescent="0.3">
      <c r="A115" t="s">
        <v>176</v>
      </c>
      <c r="B115" t="s">
        <v>91</v>
      </c>
      <c r="C115" t="s">
        <v>10</v>
      </c>
      <c r="D115" t="s">
        <v>20</v>
      </c>
      <c r="E115">
        <v>300</v>
      </c>
      <c r="F115" t="s">
        <v>21</v>
      </c>
      <c r="G115">
        <v>45</v>
      </c>
      <c r="H115">
        <v>121</v>
      </c>
      <c r="I115" t="str">
        <f>_xlfn.XLOOKUP($C115,dim_campaigns!$D$2:$D$3,dim_campaigns!$A$2:$A$3,"",0)</f>
        <v>Sankranti</v>
      </c>
      <c r="J115" s="6">
        <f t="shared" si="2"/>
        <v>1.6888888888888889</v>
      </c>
      <c r="K115">
        <f t="shared" si="3"/>
        <v>31650</v>
      </c>
      <c r="L115" t="str">
        <f>VLOOKUP($B115,dim_stores!$A$1:$C$51,2,0)</f>
        <v>Hyderabad</v>
      </c>
    </row>
    <row r="116" spans="1:12" x14ac:dyDescent="0.3">
      <c r="A116" t="s">
        <v>177</v>
      </c>
      <c r="B116" t="s">
        <v>142</v>
      </c>
      <c r="C116" t="s">
        <v>10</v>
      </c>
      <c r="D116" t="s">
        <v>38</v>
      </c>
      <c r="E116">
        <v>1190</v>
      </c>
      <c r="F116" t="s">
        <v>21</v>
      </c>
      <c r="G116">
        <v>30</v>
      </c>
      <c r="H116">
        <v>118</v>
      </c>
      <c r="I116" t="str">
        <f>_xlfn.XLOOKUP($C116,dim_campaigns!$D$2:$D$3,dim_campaigns!$A$2:$A$3,"",0)</f>
        <v>Sankranti</v>
      </c>
      <c r="J116" s="6">
        <f t="shared" si="2"/>
        <v>2.9333333333333331</v>
      </c>
      <c r="K116">
        <f t="shared" si="3"/>
        <v>105910</v>
      </c>
      <c r="L116" t="str">
        <f>VLOOKUP($B116,dim_stores!$A$1:$C$51,2,0)</f>
        <v>Madurai</v>
      </c>
    </row>
    <row r="117" spans="1:12" x14ac:dyDescent="0.3">
      <c r="A117" t="s">
        <v>178</v>
      </c>
      <c r="B117" t="s">
        <v>65</v>
      </c>
      <c r="C117" t="s">
        <v>10</v>
      </c>
      <c r="D117" t="s">
        <v>48</v>
      </c>
      <c r="E117">
        <v>62</v>
      </c>
      <c r="F117" t="s">
        <v>12</v>
      </c>
      <c r="G117">
        <v>49</v>
      </c>
      <c r="H117">
        <v>70</v>
      </c>
      <c r="I117" t="str">
        <f>_xlfn.XLOOKUP($C117,dim_campaigns!$D$2:$D$3,dim_campaigns!$A$2:$A$3,"",0)</f>
        <v>Sankranti</v>
      </c>
      <c r="J117" s="6">
        <f t="shared" si="2"/>
        <v>0.42857142857142855</v>
      </c>
      <c r="K117">
        <f t="shared" si="3"/>
        <v>5208</v>
      </c>
      <c r="L117" t="str">
        <f>VLOOKUP($B117,dim_stores!$A$1:$C$51,2,0)</f>
        <v>Hyderabad</v>
      </c>
    </row>
    <row r="118" spans="1:12" x14ac:dyDescent="0.3">
      <c r="A118" t="s">
        <v>179</v>
      </c>
      <c r="B118" t="s">
        <v>126</v>
      </c>
      <c r="C118" t="s">
        <v>15</v>
      </c>
      <c r="D118" t="s">
        <v>32</v>
      </c>
      <c r="E118">
        <v>65</v>
      </c>
      <c r="F118" t="s">
        <v>12</v>
      </c>
      <c r="G118">
        <v>52</v>
      </c>
      <c r="H118">
        <v>71</v>
      </c>
      <c r="I118" t="str">
        <f>_xlfn.XLOOKUP($C118,dim_campaigns!$D$2:$D$3,dim_campaigns!$A$2:$A$3,"",0)</f>
        <v>Diwali</v>
      </c>
      <c r="J118" s="6">
        <f t="shared" si="2"/>
        <v>0.36538461538461536</v>
      </c>
      <c r="K118">
        <f t="shared" si="3"/>
        <v>5687.5</v>
      </c>
      <c r="L118" t="str">
        <f>VLOOKUP($B118,dim_stores!$A$1:$C$51,2,0)</f>
        <v>Mangalore</v>
      </c>
    </row>
    <row r="119" spans="1:12" x14ac:dyDescent="0.3">
      <c r="A119" t="s">
        <v>180</v>
      </c>
      <c r="B119" t="s">
        <v>93</v>
      </c>
      <c r="C119" t="s">
        <v>10</v>
      </c>
      <c r="D119" t="s">
        <v>38</v>
      </c>
      <c r="E119">
        <v>1190</v>
      </c>
      <c r="F119" t="s">
        <v>21</v>
      </c>
      <c r="G119">
        <v>49</v>
      </c>
      <c r="H119">
        <v>194</v>
      </c>
      <c r="I119" t="str">
        <f>_xlfn.XLOOKUP($C119,dim_campaigns!$D$2:$D$3,dim_campaigns!$A$2:$A$3,"",0)</f>
        <v>Sankranti</v>
      </c>
      <c r="J119" s="6">
        <f t="shared" si="2"/>
        <v>2.9591836734693877</v>
      </c>
      <c r="K119">
        <f t="shared" si="3"/>
        <v>173740</v>
      </c>
      <c r="L119" t="str">
        <f>VLOOKUP($B119,dim_stores!$A$1:$C$51,2,0)</f>
        <v>Bengaluru</v>
      </c>
    </row>
    <row r="120" spans="1:12" x14ac:dyDescent="0.3">
      <c r="A120" t="s">
        <v>181</v>
      </c>
      <c r="B120" t="s">
        <v>34</v>
      </c>
      <c r="C120" t="s">
        <v>10</v>
      </c>
      <c r="D120" t="s">
        <v>11</v>
      </c>
      <c r="E120">
        <v>190</v>
      </c>
      <c r="F120" t="s">
        <v>12</v>
      </c>
      <c r="G120">
        <v>54</v>
      </c>
      <c r="H120">
        <v>78</v>
      </c>
      <c r="I120" t="str">
        <f>_xlfn.XLOOKUP($C120,dim_campaigns!$D$2:$D$3,dim_campaigns!$A$2:$A$3,"",0)</f>
        <v>Sankranti</v>
      </c>
      <c r="J120" s="6">
        <f t="shared" si="2"/>
        <v>0.44444444444444442</v>
      </c>
      <c r="K120">
        <f t="shared" si="3"/>
        <v>17670</v>
      </c>
      <c r="L120" t="str">
        <f>VLOOKUP($B120,dim_stores!$A$1:$C$51,2,0)</f>
        <v>Hyderabad</v>
      </c>
    </row>
    <row r="121" spans="1:12" x14ac:dyDescent="0.3">
      <c r="A121" t="s">
        <v>182</v>
      </c>
      <c r="B121" t="s">
        <v>60</v>
      </c>
      <c r="C121" t="s">
        <v>15</v>
      </c>
      <c r="D121" t="s">
        <v>43</v>
      </c>
      <c r="E121">
        <v>415</v>
      </c>
      <c r="F121" t="s">
        <v>17</v>
      </c>
      <c r="G121">
        <v>52</v>
      </c>
      <c r="H121">
        <v>49</v>
      </c>
      <c r="I121" t="str">
        <f>_xlfn.XLOOKUP($C121,dim_campaigns!$D$2:$D$3,dim_campaigns!$A$2:$A$3,"",0)</f>
        <v>Diwali</v>
      </c>
      <c r="J121" s="6">
        <f t="shared" si="2"/>
        <v>-5.7692307692307696E-2</v>
      </c>
      <c r="K121">
        <f t="shared" si="3"/>
        <v>36831.25</v>
      </c>
      <c r="L121" t="str">
        <f>VLOOKUP($B121,dim_stores!$A$1:$C$51,2,0)</f>
        <v>Trivandrum</v>
      </c>
    </row>
    <row r="122" spans="1:12" x14ac:dyDescent="0.3">
      <c r="A122">
        <v>572031</v>
      </c>
      <c r="B122" t="s">
        <v>27</v>
      </c>
      <c r="C122" t="s">
        <v>10</v>
      </c>
      <c r="D122" t="s">
        <v>16</v>
      </c>
      <c r="E122">
        <v>200</v>
      </c>
      <c r="F122" t="s">
        <v>21</v>
      </c>
      <c r="G122">
        <v>423</v>
      </c>
      <c r="H122">
        <v>1734</v>
      </c>
      <c r="I122" t="str">
        <f>_xlfn.XLOOKUP($C122,dim_campaigns!$D$2:$D$3,dim_campaigns!$A$2:$A$3,"",0)</f>
        <v>Sankranti</v>
      </c>
      <c r="J122" s="6">
        <f t="shared" si="2"/>
        <v>3.0992907801418439</v>
      </c>
      <c r="K122">
        <f t="shared" si="3"/>
        <v>258000</v>
      </c>
      <c r="L122" t="str">
        <f>VLOOKUP($B122,dim_stores!$A$1:$C$51,2,0)</f>
        <v>Bengaluru</v>
      </c>
    </row>
    <row r="123" spans="1:12" x14ac:dyDescent="0.3">
      <c r="A123" t="s">
        <v>183</v>
      </c>
      <c r="B123" t="s">
        <v>29</v>
      </c>
      <c r="C123" t="s">
        <v>10</v>
      </c>
      <c r="D123" t="s">
        <v>32</v>
      </c>
      <c r="E123">
        <v>50</v>
      </c>
      <c r="F123" t="s">
        <v>17</v>
      </c>
      <c r="G123">
        <v>31</v>
      </c>
      <c r="H123">
        <v>26</v>
      </c>
      <c r="I123" t="str">
        <f>_xlfn.XLOOKUP($C123,dim_campaigns!$D$2:$D$3,dim_campaigns!$A$2:$A$3,"",0)</f>
        <v>Sankranti</v>
      </c>
      <c r="J123" s="6">
        <f t="shared" si="2"/>
        <v>-0.16129032258064516</v>
      </c>
      <c r="K123">
        <f t="shared" si="3"/>
        <v>2525</v>
      </c>
      <c r="L123" t="str">
        <f>VLOOKUP($B123,dim_stores!$A$1:$C$51,2,0)</f>
        <v>Bengaluru</v>
      </c>
    </row>
    <row r="124" spans="1:12" x14ac:dyDescent="0.3">
      <c r="A124" t="s">
        <v>184</v>
      </c>
      <c r="B124" t="s">
        <v>99</v>
      </c>
      <c r="C124" t="s">
        <v>15</v>
      </c>
      <c r="D124" t="s">
        <v>20</v>
      </c>
      <c r="E124">
        <v>300</v>
      </c>
      <c r="F124" t="s">
        <v>21</v>
      </c>
      <c r="G124">
        <v>52</v>
      </c>
      <c r="H124">
        <v>173</v>
      </c>
      <c r="I124" t="str">
        <f>_xlfn.XLOOKUP($C124,dim_campaigns!$D$2:$D$3,dim_campaigns!$A$2:$A$3,"",0)</f>
        <v>Diwali</v>
      </c>
      <c r="J124" s="6">
        <f t="shared" si="2"/>
        <v>2.3269230769230771</v>
      </c>
      <c r="K124">
        <f t="shared" si="3"/>
        <v>41550</v>
      </c>
      <c r="L124" t="str">
        <f>VLOOKUP($B124,dim_stores!$A$1:$C$51,2,0)</f>
        <v>Coimbatore</v>
      </c>
    </row>
    <row r="125" spans="1:12" x14ac:dyDescent="0.3">
      <c r="A125" t="s">
        <v>185</v>
      </c>
      <c r="B125" t="s">
        <v>47</v>
      </c>
      <c r="C125" t="s">
        <v>15</v>
      </c>
      <c r="D125" t="s">
        <v>11</v>
      </c>
      <c r="E125">
        <v>190</v>
      </c>
      <c r="F125" t="s">
        <v>12</v>
      </c>
      <c r="G125">
        <v>80</v>
      </c>
      <c r="H125">
        <v>100</v>
      </c>
      <c r="I125" t="str">
        <f>_xlfn.XLOOKUP($C125,dim_campaigns!$D$2:$D$3,dim_campaigns!$A$2:$A$3,"",0)</f>
        <v>Diwali</v>
      </c>
      <c r="J125" s="6">
        <f t="shared" si="2"/>
        <v>0.25</v>
      </c>
      <c r="K125">
        <f t="shared" si="3"/>
        <v>24700</v>
      </c>
      <c r="L125" t="str">
        <f>VLOOKUP($B125,dim_stores!$A$1:$C$51,2,0)</f>
        <v>Chennai</v>
      </c>
    </row>
    <row r="126" spans="1:12" x14ac:dyDescent="0.3">
      <c r="A126" t="s">
        <v>186</v>
      </c>
      <c r="B126" t="s">
        <v>139</v>
      </c>
      <c r="C126" t="s">
        <v>10</v>
      </c>
      <c r="D126" t="s">
        <v>20</v>
      </c>
      <c r="E126">
        <v>300</v>
      </c>
      <c r="F126" t="s">
        <v>21</v>
      </c>
      <c r="G126">
        <v>31</v>
      </c>
      <c r="H126">
        <v>77</v>
      </c>
      <c r="I126" t="str">
        <f>_xlfn.XLOOKUP($C126,dim_campaigns!$D$2:$D$3,dim_campaigns!$A$2:$A$3,"",0)</f>
        <v>Sankranti</v>
      </c>
      <c r="J126" s="6">
        <f t="shared" si="2"/>
        <v>1.4838709677419355</v>
      </c>
      <c r="K126">
        <f t="shared" si="3"/>
        <v>20850</v>
      </c>
      <c r="L126" t="str">
        <f>VLOOKUP($B126,dim_stores!$A$1:$C$51,2,0)</f>
        <v>Visakhapatnam</v>
      </c>
    </row>
    <row r="127" spans="1:12" x14ac:dyDescent="0.3">
      <c r="A127" t="s">
        <v>187</v>
      </c>
      <c r="B127" t="s">
        <v>19</v>
      </c>
      <c r="C127" t="s">
        <v>15</v>
      </c>
      <c r="D127" t="s">
        <v>53</v>
      </c>
      <c r="E127">
        <v>860</v>
      </c>
      <c r="F127" t="s">
        <v>54</v>
      </c>
      <c r="G127">
        <v>197</v>
      </c>
      <c r="H127">
        <v>285</v>
      </c>
      <c r="I127" t="str">
        <f>_xlfn.XLOOKUP($C127,dim_campaigns!$D$2:$D$3,dim_campaigns!$A$2:$A$3,"",0)</f>
        <v>Diwali</v>
      </c>
      <c r="J127" s="6">
        <f t="shared" si="2"/>
        <v>0.4467005076142132</v>
      </c>
      <c r="K127">
        <f t="shared" si="3"/>
        <v>333637</v>
      </c>
      <c r="L127" t="str">
        <f>VLOOKUP($B127,dim_stores!$A$1:$C$51,2,0)</f>
        <v>Vijayawada</v>
      </c>
    </row>
    <row r="128" spans="1:12" x14ac:dyDescent="0.3">
      <c r="A128">
        <v>582098</v>
      </c>
      <c r="B128" t="s">
        <v>84</v>
      </c>
      <c r="C128" t="s">
        <v>10</v>
      </c>
      <c r="D128" t="s">
        <v>68</v>
      </c>
      <c r="E128">
        <v>1020</v>
      </c>
      <c r="F128" t="s">
        <v>21</v>
      </c>
      <c r="G128">
        <v>109</v>
      </c>
      <c r="H128">
        <v>453</v>
      </c>
      <c r="I128" t="str">
        <f>_xlfn.XLOOKUP($C128,dim_campaigns!$D$2:$D$3,dim_campaigns!$A$2:$A$3,"",0)</f>
        <v>Sankranti</v>
      </c>
      <c r="J128" s="6">
        <f t="shared" si="2"/>
        <v>3.1559633027522938</v>
      </c>
      <c r="K128">
        <f t="shared" si="3"/>
        <v>342210</v>
      </c>
      <c r="L128" t="str">
        <f>VLOOKUP($B128,dim_stores!$A$1:$C$51,2,0)</f>
        <v>Mysuru</v>
      </c>
    </row>
    <row r="129" spans="1:12" x14ac:dyDescent="0.3">
      <c r="A129" t="s">
        <v>188</v>
      </c>
      <c r="B129" t="s">
        <v>45</v>
      </c>
      <c r="C129" t="s">
        <v>15</v>
      </c>
      <c r="D129" t="s">
        <v>53</v>
      </c>
      <c r="E129">
        <v>860</v>
      </c>
      <c r="F129" t="s">
        <v>54</v>
      </c>
      <c r="G129">
        <v>329</v>
      </c>
      <c r="H129">
        <v>470</v>
      </c>
      <c r="I129" t="str">
        <f>_xlfn.XLOOKUP($C129,dim_campaigns!$D$2:$D$3,dim_campaigns!$A$2:$A$3,"",0)</f>
        <v>Diwali</v>
      </c>
      <c r="J129" s="6">
        <f t="shared" si="2"/>
        <v>0.42857142857142855</v>
      </c>
      <c r="K129">
        <f t="shared" si="3"/>
        <v>553754</v>
      </c>
      <c r="L129" t="str">
        <f>VLOOKUP($B129,dim_stores!$A$1:$C$51,2,0)</f>
        <v>Hyderabad</v>
      </c>
    </row>
    <row r="130" spans="1:12" x14ac:dyDescent="0.3">
      <c r="A130" t="s">
        <v>189</v>
      </c>
      <c r="B130" t="s">
        <v>190</v>
      </c>
      <c r="C130" t="s">
        <v>15</v>
      </c>
      <c r="D130" t="s">
        <v>16</v>
      </c>
      <c r="E130">
        <v>156</v>
      </c>
      <c r="F130" t="s">
        <v>17</v>
      </c>
      <c r="G130">
        <v>259</v>
      </c>
      <c r="H130">
        <v>225</v>
      </c>
      <c r="I130" t="str">
        <f>_xlfn.XLOOKUP($C130,dim_campaigns!$D$2:$D$3,dim_campaigns!$A$2:$A$3,"",0)</f>
        <v>Diwali</v>
      </c>
      <c r="J130" s="6">
        <f t="shared" si="2"/>
        <v>-0.13127413127413126</v>
      </c>
      <c r="K130">
        <f t="shared" si="3"/>
        <v>66729</v>
      </c>
      <c r="L130" t="str">
        <f>VLOOKUP($B130,dim_stores!$A$1:$C$51,2,0)</f>
        <v>Visakhapatnam</v>
      </c>
    </row>
    <row r="131" spans="1:12" x14ac:dyDescent="0.3">
      <c r="A131" t="s">
        <v>191</v>
      </c>
      <c r="B131" t="s">
        <v>115</v>
      </c>
      <c r="C131" t="s">
        <v>15</v>
      </c>
      <c r="D131" t="s">
        <v>85</v>
      </c>
      <c r="E131">
        <v>110</v>
      </c>
      <c r="F131" t="s">
        <v>12</v>
      </c>
      <c r="G131">
        <v>71</v>
      </c>
      <c r="H131">
        <v>90</v>
      </c>
      <c r="I131" t="str">
        <f>_xlfn.XLOOKUP($C131,dim_campaigns!$D$2:$D$3,dim_campaigns!$A$2:$A$3,"",0)</f>
        <v>Diwali</v>
      </c>
      <c r="J131" s="6">
        <f t="shared" ref="J131:J194" si="4">IFERROR((H131-G131)/G131,0)</f>
        <v>0.26760563380281688</v>
      </c>
      <c r="K131">
        <f t="shared" ref="K131:K194" si="5">E131*G131+(E131-IF(F131="500 Cashback",500,IF(F131="BOGOF",E131*50%,IF(F131="25% OFF",E131*25%,IF(F131="33% OFF",E131*33%,IF(F131="50% OFF",E131*50%,0))))))*H131</f>
        <v>12760</v>
      </c>
      <c r="L131" t="str">
        <f>VLOOKUP($B131,dim_stores!$A$1:$C$51,2,0)</f>
        <v>Bengaluru</v>
      </c>
    </row>
    <row r="132" spans="1:12" x14ac:dyDescent="0.3">
      <c r="A132" t="s">
        <v>192</v>
      </c>
      <c r="B132" t="s">
        <v>193</v>
      </c>
      <c r="C132" t="s">
        <v>10</v>
      </c>
      <c r="D132" t="s">
        <v>20</v>
      </c>
      <c r="E132">
        <v>300</v>
      </c>
      <c r="F132" t="s">
        <v>21</v>
      </c>
      <c r="G132">
        <v>31</v>
      </c>
      <c r="H132">
        <v>122</v>
      </c>
      <c r="I132" t="str">
        <f>_xlfn.XLOOKUP($C132,dim_campaigns!$D$2:$D$3,dim_campaigns!$A$2:$A$3,"",0)</f>
        <v>Sankranti</v>
      </c>
      <c r="J132" s="6">
        <f t="shared" si="4"/>
        <v>2.935483870967742</v>
      </c>
      <c r="K132">
        <f t="shared" si="5"/>
        <v>27600</v>
      </c>
      <c r="L132" t="str">
        <f>VLOOKUP($B132,dim_stores!$A$1:$C$51,2,0)</f>
        <v>Bengaluru</v>
      </c>
    </row>
    <row r="133" spans="1:12" x14ac:dyDescent="0.3">
      <c r="A133" t="s">
        <v>194</v>
      </c>
      <c r="B133" t="s">
        <v>119</v>
      </c>
      <c r="C133" t="s">
        <v>10</v>
      </c>
      <c r="D133" t="s">
        <v>48</v>
      </c>
      <c r="E133">
        <v>62</v>
      </c>
      <c r="F133" t="s">
        <v>12</v>
      </c>
      <c r="G133">
        <v>64</v>
      </c>
      <c r="H133">
        <v>89</v>
      </c>
      <c r="I133" t="str">
        <f>_xlfn.XLOOKUP($C133,dim_campaigns!$D$2:$D$3,dim_campaigns!$A$2:$A$3,"",0)</f>
        <v>Sankranti</v>
      </c>
      <c r="J133" s="6">
        <f t="shared" si="4"/>
        <v>0.390625</v>
      </c>
      <c r="K133">
        <f t="shared" si="5"/>
        <v>6727</v>
      </c>
      <c r="L133" t="str">
        <f>VLOOKUP($B133,dim_stores!$A$1:$C$51,2,0)</f>
        <v>Chennai</v>
      </c>
    </row>
    <row r="134" spans="1:12" x14ac:dyDescent="0.3">
      <c r="A134" t="s">
        <v>195</v>
      </c>
      <c r="B134" t="s">
        <v>89</v>
      </c>
      <c r="C134" t="s">
        <v>15</v>
      </c>
      <c r="D134" t="s">
        <v>61</v>
      </c>
      <c r="E134">
        <v>172</v>
      </c>
      <c r="F134" t="s">
        <v>54</v>
      </c>
      <c r="G134">
        <v>180</v>
      </c>
      <c r="H134">
        <v>255</v>
      </c>
      <c r="I134" t="str">
        <f>_xlfn.XLOOKUP($C134,dim_campaigns!$D$2:$D$3,dim_campaigns!$A$2:$A$3,"",0)</f>
        <v>Diwali</v>
      </c>
      <c r="J134" s="6">
        <f t="shared" si="4"/>
        <v>0.41666666666666669</v>
      </c>
      <c r="K134">
        <f t="shared" si="5"/>
        <v>60346.2</v>
      </c>
      <c r="L134" t="str">
        <f>VLOOKUP($B134,dim_stores!$A$1:$C$51,2,0)</f>
        <v>Vijayawada</v>
      </c>
    </row>
    <row r="135" spans="1:12" x14ac:dyDescent="0.3">
      <c r="A135" t="s">
        <v>196</v>
      </c>
      <c r="B135" t="s">
        <v>174</v>
      </c>
      <c r="C135" t="s">
        <v>15</v>
      </c>
      <c r="D135" t="s">
        <v>43</v>
      </c>
      <c r="E135">
        <v>415</v>
      </c>
      <c r="F135" t="s">
        <v>17</v>
      </c>
      <c r="G135">
        <v>36</v>
      </c>
      <c r="H135">
        <v>34</v>
      </c>
      <c r="I135" t="str">
        <f>_xlfn.XLOOKUP($C135,dim_campaigns!$D$2:$D$3,dim_campaigns!$A$2:$A$3,"",0)</f>
        <v>Diwali</v>
      </c>
      <c r="J135" s="6">
        <f t="shared" si="4"/>
        <v>-5.5555555555555552E-2</v>
      </c>
      <c r="K135">
        <f t="shared" si="5"/>
        <v>25522.5</v>
      </c>
      <c r="L135" t="str">
        <f>VLOOKUP($B135,dim_stores!$A$1:$C$51,2,0)</f>
        <v>Trivandrum</v>
      </c>
    </row>
    <row r="136" spans="1:12" x14ac:dyDescent="0.3">
      <c r="A136" t="s">
        <v>197</v>
      </c>
      <c r="B136" t="s">
        <v>40</v>
      </c>
      <c r="C136" t="s">
        <v>15</v>
      </c>
      <c r="D136" t="s">
        <v>43</v>
      </c>
      <c r="E136">
        <v>415</v>
      </c>
      <c r="F136" t="s">
        <v>17</v>
      </c>
      <c r="G136">
        <v>50</v>
      </c>
      <c r="H136">
        <v>43</v>
      </c>
      <c r="I136" t="str">
        <f>_xlfn.XLOOKUP($C136,dim_campaigns!$D$2:$D$3,dim_campaigns!$A$2:$A$3,"",0)</f>
        <v>Diwali</v>
      </c>
      <c r="J136" s="6">
        <f t="shared" si="4"/>
        <v>-0.14000000000000001</v>
      </c>
      <c r="K136">
        <f t="shared" si="5"/>
        <v>34133.75</v>
      </c>
      <c r="L136" t="str">
        <f>VLOOKUP($B136,dim_stores!$A$1:$C$51,2,0)</f>
        <v>Madurai</v>
      </c>
    </row>
    <row r="137" spans="1:12" x14ac:dyDescent="0.3">
      <c r="A137" t="s">
        <v>198</v>
      </c>
      <c r="B137" t="s">
        <v>23</v>
      </c>
      <c r="C137" t="s">
        <v>15</v>
      </c>
      <c r="D137" t="s">
        <v>20</v>
      </c>
      <c r="E137">
        <v>300</v>
      </c>
      <c r="F137" t="s">
        <v>21</v>
      </c>
      <c r="G137">
        <v>57</v>
      </c>
      <c r="H137">
        <v>188</v>
      </c>
      <c r="I137" t="str">
        <f>_xlfn.XLOOKUP($C137,dim_campaigns!$D$2:$D$3,dim_campaigns!$A$2:$A$3,"",0)</f>
        <v>Diwali</v>
      </c>
      <c r="J137" s="6">
        <f t="shared" si="4"/>
        <v>2.2982456140350878</v>
      </c>
      <c r="K137">
        <f t="shared" si="5"/>
        <v>45300</v>
      </c>
      <c r="L137" t="str">
        <f>VLOOKUP($B137,dim_stores!$A$1:$C$51,2,0)</f>
        <v>Coimbatore</v>
      </c>
    </row>
    <row r="138" spans="1:12" x14ac:dyDescent="0.3">
      <c r="A138" t="s">
        <v>199</v>
      </c>
      <c r="B138" t="s">
        <v>113</v>
      </c>
      <c r="C138" t="s">
        <v>15</v>
      </c>
      <c r="D138" t="s">
        <v>53</v>
      </c>
      <c r="E138">
        <v>860</v>
      </c>
      <c r="F138" t="s">
        <v>54</v>
      </c>
      <c r="G138">
        <v>364</v>
      </c>
      <c r="H138">
        <v>451</v>
      </c>
      <c r="I138" t="str">
        <f>_xlfn.XLOOKUP($C138,dim_campaigns!$D$2:$D$3,dim_campaigns!$A$2:$A$3,"",0)</f>
        <v>Diwali</v>
      </c>
      <c r="J138" s="6">
        <f t="shared" si="4"/>
        <v>0.23901098901098902</v>
      </c>
      <c r="K138">
        <f t="shared" si="5"/>
        <v>572906.19999999995</v>
      </c>
      <c r="L138" t="str">
        <f>VLOOKUP($B138,dim_stores!$A$1:$C$51,2,0)</f>
        <v>Chennai</v>
      </c>
    </row>
    <row r="139" spans="1:12" x14ac:dyDescent="0.3">
      <c r="A139" t="s">
        <v>200</v>
      </c>
      <c r="B139" t="s">
        <v>47</v>
      </c>
      <c r="C139" t="s">
        <v>15</v>
      </c>
      <c r="D139" t="s">
        <v>68</v>
      </c>
      <c r="E139">
        <v>1020</v>
      </c>
      <c r="F139" t="s">
        <v>21</v>
      </c>
      <c r="G139">
        <v>59</v>
      </c>
      <c r="H139">
        <v>195</v>
      </c>
      <c r="I139" t="str">
        <f>_xlfn.XLOOKUP($C139,dim_campaigns!$D$2:$D$3,dim_campaigns!$A$2:$A$3,"",0)</f>
        <v>Diwali</v>
      </c>
      <c r="J139" s="6">
        <f t="shared" si="4"/>
        <v>2.3050847457627119</v>
      </c>
      <c r="K139">
        <f t="shared" si="5"/>
        <v>159630</v>
      </c>
      <c r="L139" t="str">
        <f>VLOOKUP($B139,dim_stores!$A$1:$C$51,2,0)</f>
        <v>Chennai</v>
      </c>
    </row>
    <row r="140" spans="1:12" x14ac:dyDescent="0.3">
      <c r="A140" t="s">
        <v>201</v>
      </c>
      <c r="B140" t="s">
        <v>14</v>
      </c>
      <c r="C140" t="s">
        <v>15</v>
      </c>
      <c r="D140" t="s">
        <v>24</v>
      </c>
      <c r="E140">
        <v>3000</v>
      </c>
      <c r="F140" t="s">
        <v>25</v>
      </c>
      <c r="G140">
        <v>437</v>
      </c>
      <c r="H140">
        <v>1306</v>
      </c>
      <c r="I140" t="str">
        <f>_xlfn.XLOOKUP($C140,dim_campaigns!$D$2:$D$3,dim_campaigns!$A$2:$A$3,"",0)</f>
        <v>Diwali</v>
      </c>
      <c r="J140" s="6">
        <f t="shared" si="4"/>
        <v>1.9885583524027459</v>
      </c>
      <c r="K140">
        <f t="shared" si="5"/>
        <v>4576000</v>
      </c>
      <c r="L140" t="str">
        <f>VLOOKUP($B140,dim_stores!$A$1:$C$51,2,0)</f>
        <v>Bengaluru</v>
      </c>
    </row>
    <row r="141" spans="1:12" x14ac:dyDescent="0.3">
      <c r="A141" t="s">
        <v>202</v>
      </c>
      <c r="B141" t="s">
        <v>63</v>
      </c>
      <c r="C141" t="s">
        <v>10</v>
      </c>
      <c r="D141" t="s">
        <v>68</v>
      </c>
      <c r="E141">
        <v>1020</v>
      </c>
      <c r="F141" t="s">
        <v>21</v>
      </c>
      <c r="G141">
        <v>82</v>
      </c>
      <c r="H141">
        <v>322</v>
      </c>
      <c r="I141" t="str">
        <f>_xlfn.XLOOKUP($C141,dim_campaigns!$D$2:$D$3,dim_campaigns!$A$2:$A$3,"",0)</f>
        <v>Sankranti</v>
      </c>
      <c r="J141" s="6">
        <f t="shared" si="4"/>
        <v>2.9268292682926829</v>
      </c>
      <c r="K141">
        <f t="shared" si="5"/>
        <v>247860</v>
      </c>
      <c r="L141" t="str">
        <f>VLOOKUP($B141,dim_stores!$A$1:$C$51,2,0)</f>
        <v>Visakhapatnam</v>
      </c>
    </row>
    <row r="142" spans="1:12" x14ac:dyDescent="0.3">
      <c r="A142" t="s">
        <v>203</v>
      </c>
      <c r="B142" t="s">
        <v>40</v>
      </c>
      <c r="C142" t="s">
        <v>10</v>
      </c>
      <c r="D142" t="s">
        <v>68</v>
      </c>
      <c r="E142">
        <v>1020</v>
      </c>
      <c r="F142" t="s">
        <v>21</v>
      </c>
      <c r="G142">
        <v>76</v>
      </c>
      <c r="H142">
        <v>300</v>
      </c>
      <c r="I142" t="str">
        <f>_xlfn.XLOOKUP($C142,dim_campaigns!$D$2:$D$3,dim_campaigns!$A$2:$A$3,"",0)</f>
        <v>Sankranti</v>
      </c>
      <c r="J142" s="6">
        <f t="shared" si="4"/>
        <v>2.9473684210526314</v>
      </c>
      <c r="K142">
        <f t="shared" si="5"/>
        <v>230520</v>
      </c>
      <c r="L142" t="str">
        <f>VLOOKUP($B142,dim_stores!$A$1:$C$51,2,0)</f>
        <v>Madurai</v>
      </c>
    </row>
    <row r="143" spans="1:12" x14ac:dyDescent="0.3">
      <c r="A143" t="s">
        <v>204</v>
      </c>
      <c r="B143" t="s">
        <v>137</v>
      </c>
      <c r="C143" t="s">
        <v>10</v>
      </c>
      <c r="D143" t="s">
        <v>48</v>
      </c>
      <c r="E143">
        <v>62</v>
      </c>
      <c r="F143" t="s">
        <v>12</v>
      </c>
      <c r="G143">
        <v>27</v>
      </c>
      <c r="H143">
        <v>31</v>
      </c>
      <c r="I143" t="str">
        <f>_xlfn.XLOOKUP($C143,dim_campaigns!$D$2:$D$3,dim_campaigns!$A$2:$A$3,"",0)</f>
        <v>Sankranti</v>
      </c>
      <c r="J143" s="6">
        <f t="shared" si="4"/>
        <v>0.14814814814814814</v>
      </c>
      <c r="K143">
        <f t="shared" si="5"/>
        <v>2635</v>
      </c>
      <c r="L143" t="str">
        <f>VLOOKUP($B143,dim_stores!$A$1:$C$51,2,0)</f>
        <v>Mangalore</v>
      </c>
    </row>
    <row r="144" spans="1:12" x14ac:dyDescent="0.3">
      <c r="A144" t="s">
        <v>205</v>
      </c>
      <c r="B144" t="s">
        <v>34</v>
      </c>
      <c r="C144" t="s">
        <v>10</v>
      </c>
      <c r="D144" t="s">
        <v>35</v>
      </c>
      <c r="E144">
        <v>350</v>
      </c>
      <c r="F144" t="s">
        <v>21</v>
      </c>
      <c r="G144">
        <v>135</v>
      </c>
      <c r="H144">
        <v>534</v>
      </c>
      <c r="I144" t="str">
        <f>_xlfn.XLOOKUP($C144,dim_campaigns!$D$2:$D$3,dim_campaigns!$A$2:$A$3,"",0)</f>
        <v>Sankranti</v>
      </c>
      <c r="J144" s="6">
        <f t="shared" si="4"/>
        <v>2.9555555555555557</v>
      </c>
      <c r="K144">
        <f t="shared" si="5"/>
        <v>140700</v>
      </c>
      <c r="L144" t="str">
        <f>VLOOKUP($B144,dim_stores!$A$1:$C$51,2,0)</f>
        <v>Hyderabad</v>
      </c>
    </row>
    <row r="145" spans="1:12" x14ac:dyDescent="0.3">
      <c r="A145" t="s">
        <v>206</v>
      </c>
      <c r="B145" t="s">
        <v>207</v>
      </c>
      <c r="C145" t="s">
        <v>15</v>
      </c>
      <c r="D145" t="s">
        <v>35</v>
      </c>
      <c r="E145">
        <v>350</v>
      </c>
      <c r="F145" t="s">
        <v>21</v>
      </c>
      <c r="G145">
        <v>68</v>
      </c>
      <c r="H145">
        <v>235</v>
      </c>
      <c r="I145" t="str">
        <f>_xlfn.XLOOKUP($C145,dim_campaigns!$D$2:$D$3,dim_campaigns!$A$2:$A$3,"",0)</f>
        <v>Diwali</v>
      </c>
      <c r="J145" s="6">
        <f t="shared" si="4"/>
        <v>2.4558823529411766</v>
      </c>
      <c r="K145">
        <f t="shared" si="5"/>
        <v>64925</v>
      </c>
      <c r="L145" t="str">
        <f>VLOOKUP($B145,dim_stores!$A$1:$C$51,2,0)</f>
        <v>Hyderabad</v>
      </c>
    </row>
    <row r="146" spans="1:12" x14ac:dyDescent="0.3">
      <c r="A146" t="s">
        <v>208</v>
      </c>
      <c r="B146" t="s">
        <v>117</v>
      </c>
      <c r="C146" t="s">
        <v>10</v>
      </c>
      <c r="D146" t="s">
        <v>38</v>
      </c>
      <c r="E146">
        <v>1190</v>
      </c>
      <c r="F146" t="s">
        <v>21</v>
      </c>
      <c r="G146">
        <v>27</v>
      </c>
      <c r="H146">
        <v>106</v>
      </c>
      <c r="I146" t="str">
        <f>_xlfn.XLOOKUP($C146,dim_campaigns!$D$2:$D$3,dim_campaigns!$A$2:$A$3,"",0)</f>
        <v>Sankranti</v>
      </c>
      <c r="J146" s="6">
        <f t="shared" si="4"/>
        <v>2.925925925925926</v>
      </c>
      <c r="K146">
        <f t="shared" si="5"/>
        <v>95200</v>
      </c>
      <c r="L146" t="str">
        <f>VLOOKUP($B146,dim_stores!$A$1:$C$51,2,0)</f>
        <v>Mangalore</v>
      </c>
    </row>
    <row r="147" spans="1:12" x14ac:dyDescent="0.3">
      <c r="A147" t="s">
        <v>209</v>
      </c>
      <c r="B147" t="s">
        <v>37</v>
      </c>
      <c r="C147" t="s">
        <v>10</v>
      </c>
      <c r="D147" t="s">
        <v>51</v>
      </c>
      <c r="E147">
        <v>370</v>
      </c>
      <c r="F147" t="s">
        <v>21</v>
      </c>
      <c r="G147">
        <v>363</v>
      </c>
      <c r="H147">
        <v>990</v>
      </c>
      <c r="I147" t="str">
        <f>_xlfn.XLOOKUP($C147,dim_campaigns!$D$2:$D$3,dim_campaigns!$A$2:$A$3,"",0)</f>
        <v>Sankranti</v>
      </c>
      <c r="J147" s="6">
        <f t="shared" si="4"/>
        <v>1.7272727272727273</v>
      </c>
      <c r="K147">
        <f t="shared" si="5"/>
        <v>317460</v>
      </c>
      <c r="L147" t="str">
        <f>VLOOKUP($B147,dim_stores!$A$1:$C$51,2,0)</f>
        <v>Coimbatore</v>
      </c>
    </row>
    <row r="148" spans="1:12" x14ac:dyDescent="0.3">
      <c r="A148" t="s">
        <v>210</v>
      </c>
      <c r="B148" t="s">
        <v>139</v>
      </c>
      <c r="C148" t="s">
        <v>15</v>
      </c>
      <c r="D148" t="s">
        <v>16</v>
      </c>
      <c r="E148">
        <v>156</v>
      </c>
      <c r="F148" t="s">
        <v>17</v>
      </c>
      <c r="G148">
        <v>196</v>
      </c>
      <c r="H148">
        <v>174</v>
      </c>
      <c r="I148" t="str">
        <f>_xlfn.XLOOKUP($C148,dim_campaigns!$D$2:$D$3,dim_campaigns!$A$2:$A$3,"",0)</f>
        <v>Diwali</v>
      </c>
      <c r="J148" s="6">
        <f t="shared" si="4"/>
        <v>-0.11224489795918367</v>
      </c>
      <c r="K148">
        <f t="shared" si="5"/>
        <v>50934</v>
      </c>
      <c r="L148" t="str">
        <f>VLOOKUP($B148,dim_stores!$A$1:$C$51,2,0)</f>
        <v>Visakhapatnam</v>
      </c>
    </row>
    <row r="149" spans="1:12" x14ac:dyDescent="0.3">
      <c r="A149" t="s">
        <v>211</v>
      </c>
      <c r="B149" t="s">
        <v>212</v>
      </c>
      <c r="C149" t="s">
        <v>10</v>
      </c>
      <c r="D149" t="s">
        <v>35</v>
      </c>
      <c r="E149">
        <v>350</v>
      </c>
      <c r="F149" t="s">
        <v>21</v>
      </c>
      <c r="G149">
        <v>133</v>
      </c>
      <c r="H149">
        <v>559</v>
      </c>
      <c r="I149" t="str">
        <f>_xlfn.XLOOKUP($C149,dim_campaigns!$D$2:$D$3,dim_campaigns!$A$2:$A$3,"",0)</f>
        <v>Sankranti</v>
      </c>
      <c r="J149" s="6">
        <f t="shared" si="4"/>
        <v>3.2030075187969924</v>
      </c>
      <c r="K149">
        <f t="shared" si="5"/>
        <v>144375</v>
      </c>
      <c r="L149" t="str">
        <f>VLOOKUP($B149,dim_stores!$A$1:$C$51,2,0)</f>
        <v>Bengaluru</v>
      </c>
    </row>
    <row r="150" spans="1:12" x14ac:dyDescent="0.3">
      <c r="A150" t="s">
        <v>213</v>
      </c>
      <c r="B150" t="s">
        <v>161</v>
      </c>
      <c r="C150" t="s">
        <v>10</v>
      </c>
      <c r="D150" t="s">
        <v>11</v>
      </c>
      <c r="E150">
        <v>190</v>
      </c>
      <c r="F150" t="s">
        <v>12</v>
      </c>
      <c r="G150">
        <v>58</v>
      </c>
      <c r="H150">
        <v>81</v>
      </c>
      <c r="I150" t="str">
        <f>_xlfn.XLOOKUP($C150,dim_campaigns!$D$2:$D$3,dim_campaigns!$A$2:$A$3,"",0)</f>
        <v>Sankranti</v>
      </c>
      <c r="J150" s="6">
        <f t="shared" si="4"/>
        <v>0.39655172413793105</v>
      </c>
      <c r="K150">
        <f t="shared" si="5"/>
        <v>18715</v>
      </c>
      <c r="L150" t="str">
        <f>VLOOKUP($B150,dim_stores!$A$1:$C$51,2,0)</f>
        <v>Chennai</v>
      </c>
    </row>
    <row r="151" spans="1:12" x14ac:dyDescent="0.3">
      <c r="A151" t="s">
        <v>214</v>
      </c>
      <c r="B151" t="s">
        <v>142</v>
      </c>
      <c r="C151" t="s">
        <v>15</v>
      </c>
      <c r="D151" t="s">
        <v>38</v>
      </c>
      <c r="E151">
        <v>1190</v>
      </c>
      <c r="F151" t="s">
        <v>21</v>
      </c>
      <c r="G151">
        <v>35</v>
      </c>
      <c r="H151">
        <v>122</v>
      </c>
      <c r="I151" t="str">
        <f>_xlfn.XLOOKUP($C151,dim_campaigns!$D$2:$D$3,dim_campaigns!$A$2:$A$3,"",0)</f>
        <v>Diwali</v>
      </c>
      <c r="J151" s="6">
        <f t="shared" si="4"/>
        <v>2.4857142857142858</v>
      </c>
      <c r="K151">
        <f t="shared" si="5"/>
        <v>114240</v>
      </c>
      <c r="L151" t="str">
        <f>VLOOKUP($B151,dim_stores!$A$1:$C$51,2,0)</f>
        <v>Madurai</v>
      </c>
    </row>
    <row r="152" spans="1:12" x14ac:dyDescent="0.3">
      <c r="A152" t="s">
        <v>215</v>
      </c>
      <c r="B152" t="s">
        <v>137</v>
      </c>
      <c r="C152" t="s">
        <v>15</v>
      </c>
      <c r="D152" t="s">
        <v>35</v>
      </c>
      <c r="E152">
        <v>350</v>
      </c>
      <c r="F152" t="s">
        <v>21</v>
      </c>
      <c r="G152">
        <v>38</v>
      </c>
      <c r="H152">
        <v>133</v>
      </c>
      <c r="I152" t="str">
        <f>_xlfn.XLOOKUP($C152,dim_campaigns!$D$2:$D$3,dim_campaigns!$A$2:$A$3,"",0)</f>
        <v>Diwali</v>
      </c>
      <c r="J152" s="6">
        <f t="shared" si="4"/>
        <v>2.5</v>
      </c>
      <c r="K152">
        <f t="shared" si="5"/>
        <v>36575</v>
      </c>
      <c r="L152" t="str">
        <f>VLOOKUP($B152,dim_stores!$A$1:$C$51,2,0)</f>
        <v>Mangalore</v>
      </c>
    </row>
    <row r="153" spans="1:12" x14ac:dyDescent="0.3">
      <c r="A153" t="s">
        <v>216</v>
      </c>
      <c r="B153" t="s">
        <v>207</v>
      </c>
      <c r="C153" t="s">
        <v>15</v>
      </c>
      <c r="D153" t="s">
        <v>16</v>
      </c>
      <c r="E153">
        <v>156</v>
      </c>
      <c r="F153" t="s">
        <v>17</v>
      </c>
      <c r="G153">
        <v>351</v>
      </c>
      <c r="H153">
        <v>305</v>
      </c>
      <c r="I153" t="str">
        <f>_xlfn.XLOOKUP($C153,dim_campaigns!$D$2:$D$3,dim_campaigns!$A$2:$A$3,"",0)</f>
        <v>Diwali</v>
      </c>
      <c r="J153" s="6">
        <f t="shared" si="4"/>
        <v>-0.13105413105413105</v>
      </c>
      <c r="K153">
        <f t="shared" si="5"/>
        <v>90441</v>
      </c>
      <c r="L153" t="str">
        <f>VLOOKUP($B153,dim_stores!$A$1:$C$51,2,0)</f>
        <v>Hyderabad</v>
      </c>
    </row>
    <row r="154" spans="1:12" x14ac:dyDescent="0.3">
      <c r="A154" t="s">
        <v>217</v>
      </c>
      <c r="B154" t="s">
        <v>29</v>
      </c>
      <c r="C154" t="s">
        <v>15</v>
      </c>
      <c r="D154" t="s">
        <v>28</v>
      </c>
      <c r="E154">
        <v>55</v>
      </c>
      <c r="F154" t="s">
        <v>17</v>
      </c>
      <c r="G154">
        <v>136</v>
      </c>
      <c r="H154">
        <v>121</v>
      </c>
      <c r="I154" t="str">
        <f>_xlfn.XLOOKUP($C154,dim_campaigns!$D$2:$D$3,dim_campaigns!$A$2:$A$3,"",0)</f>
        <v>Diwali</v>
      </c>
      <c r="J154" s="6">
        <f t="shared" si="4"/>
        <v>-0.11029411764705882</v>
      </c>
      <c r="K154">
        <f t="shared" si="5"/>
        <v>12471.25</v>
      </c>
      <c r="L154" t="str">
        <f>VLOOKUP($B154,dim_stores!$A$1:$C$51,2,0)</f>
        <v>Bengaluru</v>
      </c>
    </row>
    <row r="155" spans="1:12" x14ac:dyDescent="0.3">
      <c r="A155" t="s">
        <v>218</v>
      </c>
      <c r="B155" t="s">
        <v>63</v>
      </c>
      <c r="C155" t="s">
        <v>10</v>
      </c>
      <c r="D155" t="s">
        <v>51</v>
      </c>
      <c r="E155">
        <v>370</v>
      </c>
      <c r="F155" t="s">
        <v>21</v>
      </c>
      <c r="G155">
        <v>252</v>
      </c>
      <c r="H155">
        <v>985</v>
      </c>
      <c r="I155" t="str">
        <f>_xlfn.XLOOKUP($C155,dim_campaigns!$D$2:$D$3,dim_campaigns!$A$2:$A$3,"",0)</f>
        <v>Sankranti</v>
      </c>
      <c r="J155" s="6">
        <f t="shared" si="4"/>
        <v>2.9087301587301586</v>
      </c>
      <c r="K155">
        <f t="shared" si="5"/>
        <v>275465</v>
      </c>
      <c r="L155" t="str">
        <f>VLOOKUP($B155,dim_stores!$A$1:$C$51,2,0)</f>
        <v>Visakhapatnam</v>
      </c>
    </row>
    <row r="156" spans="1:12" x14ac:dyDescent="0.3">
      <c r="A156" t="s">
        <v>219</v>
      </c>
      <c r="B156" t="s">
        <v>139</v>
      </c>
      <c r="C156" t="s">
        <v>15</v>
      </c>
      <c r="D156" t="s">
        <v>24</v>
      </c>
      <c r="E156">
        <v>3000</v>
      </c>
      <c r="F156" t="s">
        <v>25</v>
      </c>
      <c r="G156">
        <v>260</v>
      </c>
      <c r="H156">
        <v>681</v>
      </c>
      <c r="I156" t="str">
        <f>_xlfn.XLOOKUP($C156,dim_campaigns!$D$2:$D$3,dim_campaigns!$A$2:$A$3,"",0)</f>
        <v>Diwali</v>
      </c>
      <c r="J156" s="6">
        <f t="shared" si="4"/>
        <v>1.6192307692307693</v>
      </c>
      <c r="K156">
        <f t="shared" si="5"/>
        <v>2482500</v>
      </c>
      <c r="L156" t="str">
        <f>VLOOKUP($B156,dim_stores!$A$1:$C$51,2,0)</f>
        <v>Visakhapatnam</v>
      </c>
    </row>
    <row r="157" spans="1:12" x14ac:dyDescent="0.3">
      <c r="A157" t="s">
        <v>220</v>
      </c>
      <c r="B157" t="s">
        <v>89</v>
      </c>
      <c r="C157" t="s">
        <v>15</v>
      </c>
      <c r="D157" t="s">
        <v>51</v>
      </c>
      <c r="E157">
        <v>290</v>
      </c>
      <c r="F157" t="s">
        <v>17</v>
      </c>
      <c r="G157">
        <v>150</v>
      </c>
      <c r="H157">
        <v>123</v>
      </c>
      <c r="I157" t="str">
        <f>_xlfn.XLOOKUP($C157,dim_campaigns!$D$2:$D$3,dim_campaigns!$A$2:$A$3,"",0)</f>
        <v>Diwali</v>
      </c>
      <c r="J157" s="6">
        <f t="shared" si="4"/>
        <v>-0.18</v>
      </c>
      <c r="K157">
        <f t="shared" si="5"/>
        <v>70252.5</v>
      </c>
      <c r="L157" t="str">
        <f>VLOOKUP($B157,dim_stores!$A$1:$C$51,2,0)</f>
        <v>Vijayawada</v>
      </c>
    </row>
    <row r="158" spans="1:12" x14ac:dyDescent="0.3">
      <c r="A158" t="s">
        <v>221</v>
      </c>
      <c r="B158" t="s">
        <v>45</v>
      </c>
      <c r="C158" t="s">
        <v>10</v>
      </c>
      <c r="D158" t="s">
        <v>11</v>
      </c>
      <c r="E158">
        <v>190</v>
      </c>
      <c r="F158" t="s">
        <v>12</v>
      </c>
      <c r="G158">
        <v>49</v>
      </c>
      <c r="H158">
        <v>69</v>
      </c>
      <c r="I158" t="str">
        <f>_xlfn.XLOOKUP($C158,dim_campaigns!$D$2:$D$3,dim_campaigns!$A$2:$A$3,"",0)</f>
        <v>Sankranti</v>
      </c>
      <c r="J158" s="6">
        <f t="shared" si="4"/>
        <v>0.40816326530612246</v>
      </c>
      <c r="K158">
        <f t="shared" si="5"/>
        <v>15865</v>
      </c>
      <c r="L158" t="str">
        <f>VLOOKUP($B158,dim_stores!$A$1:$C$51,2,0)</f>
        <v>Hyderabad</v>
      </c>
    </row>
    <row r="159" spans="1:12" x14ac:dyDescent="0.3">
      <c r="A159" t="s">
        <v>222</v>
      </c>
      <c r="B159" t="s">
        <v>34</v>
      </c>
      <c r="C159" t="s">
        <v>10</v>
      </c>
      <c r="D159" t="s">
        <v>38</v>
      </c>
      <c r="E159">
        <v>1190</v>
      </c>
      <c r="F159" t="s">
        <v>21</v>
      </c>
      <c r="G159">
        <v>51</v>
      </c>
      <c r="H159">
        <v>203</v>
      </c>
      <c r="I159" t="str">
        <f>_xlfn.XLOOKUP($C159,dim_campaigns!$D$2:$D$3,dim_campaigns!$A$2:$A$3,"",0)</f>
        <v>Sankranti</v>
      </c>
      <c r="J159" s="6">
        <f t="shared" si="4"/>
        <v>2.9803921568627452</v>
      </c>
      <c r="K159">
        <f t="shared" si="5"/>
        <v>181475</v>
      </c>
      <c r="L159" t="str">
        <f>VLOOKUP($B159,dim_stores!$A$1:$C$51,2,0)</f>
        <v>Hyderabad</v>
      </c>
    </row>
    <row r="160" spans="1:12" x14ac:dyDescent="0.3">
      <c r="A160" t="s">
        <v>223</v>
      </c>
      <c r="B160" t="s">
        <v>84</v>
      </c>
      <c r="C160" t="s">
        <v>15</v>
      </c>
      <c r="D160" t="s">
        <v>85</v>
      </c>
      <c r="E160">
        <v>110</v>
      </c>
      <c r="F160" t="s">
        <v>12</v>
      </c>
      <c r="G160">
        <v>103</v>
      </c>
      <c r="H160">
        <v>159</v>
      </c>
      <c r="I160" t="str">
        <f>_xlfn.XLOOKUP($C160,dim_campaigns!$D$2:$D$3,dim_campaigns!$A$2:$A$3,"",0)</f>
        <v>Diwali</v>
      </c>
      <c r="J160" s="6">
        <f t="shared" si="4"/>
        <v>0.5436893203883495</v>
      </c>
      <c r="K160">
        <f t="shared" si="5"/>
        <v>20075</v>
      </c>
      <c r="L160" t="str">
        <f>VLOOKUP($B160,dim_stores!$A$1:$C$51,2,0)</f>
        <v>Mysuru</v>
      </c>
    </row>
    <row r="161" spans="1:12" x14ac:dyDescent="0.3">
      <c r="A161" t="s">
        <v>224</v>
      </c>
      <c r="B161" t="s">
        <v>190</v>
      </c>
      <c r="C161" t="s">
        <v>10</v>
      </c>
      <c r="D161" t="s">
        <v>68</v>
      </c>
      <c r="E161">
        <v>1020</v>
      </c>
      <c r="F161" t="s">
        <v>21</v>
      </c>
      <c r="G161">
        <v>61</v>
      </c>
      <c r="H161">
        <v>234</v>
      </c>
      <c r="I161" t="str">
        <f>_xlfn.XLOOKUP($C161,dim_campaigns!$D$2:$D$3,dim_campaigns!$A$2:$A$3,"",0)</f>
        <v>Sankranti</v>
      </c>
      <c r="J161" s="6">
        <f t="shared" si="4"/>
        <v>2.8360655737704916</v>
      </c>
      <c r="K161">
        <f t="shared" si="5"/>
        <v>181560</v>
      </c>
      <c r="L161" t="str">
        <f>VLOOKUP($B161,dim_stores!$A$1:$C$51,2,0)</f>
        <v>Visakhapatnam</v>
      </c>
    </row>
    <row r="162" spans="1:12" x14ac:dyDescent="0.3">
      <c r="A162" t="s">
        <v>225</v>
      </c>
      <c r="B162" t="s">
        <v>119</v>
      </c>
      <c r="C162" t="s">
        <v>15</v>
      </c>
      <c r="D162" t="s">
        <v>16</v>
      </c>
      <c r="E162">
        <v>156</v>
      </c>
      <c r="F162" t="s">
        <v>17</v>
      </c>
      <c r="G162">
        <v>330</v>
      </c>
      <c r="H162">
        <v>290</v>
      </c>
      <c r="I162" t="str">
        <f>_xlfn.XLOOKUP($C162,dim_campaigns!$D$2:$D$3,dim_campaigns!$A$2:$A$3,"",0)</f>
        <v>Diwali</v>
      </c>
      <c r="J162" s="6">
        <f t="shared" si="4"/>
        <v>-0.12121212121212122</v>
      </c>
      <c r="K162">
        <f t="shared" si="5"/>
        <v>85410</v>
      </c>
      <c r="L162" t="str">
        <f>VLOOKUP($B162,dim_stores!$A$1:$C$51,2,0)</f>
        <v>Chennai</v>
      </c>
    </row>
    <row r="163" spans="1:12" x14ac:dyDescent="0.3">
      <c r="A163" t="s">
        <v>226</v>
      </c>
      <c r="B163" t="s">
        <v>23</v>
      </c>
      <c r="C163" t="s">
        <v>10</v>
      </c>
      <c r="D163" t="s">
        <v>16</v>
      </c>
      <c r="E163">
        <v>200</v>
      </c>
      <c r="F163" t="s">
        <v>21</v>
      </c>
      <c r="G163">
        <v>267</v>
      </c>
      <c r="H163">
        <v>1054</v>
      </c>
      <c r="I163" t="str">
        <f>_xlfn.XLOOKUP($C163,dim_campaigns!$D$2:$D$3,dim_campaigns!$A$2:$A$3,"",0)</f>
        <v>Sankranti</v>
      </c>
      <c r="J163" s="6">
        <f t="shared" si="4"/>
        <v>2.9475655430711609</v>
      </c>
      <c r="K163">
        <f t="shared" si="5"/>
        <v>158800</v>
      </c>
      <c r="L163" t="str">
        <f>VLOOKUP($B163,dim_stores!$A$1:$C$51,2,0)</f>
        <v>Coimbatore</v>
      </c>
    </row>
    <row r="164" spans="1:12" x14ac:dyDescent="0.3">
      <c r="A164" t="s">
        <v>227</v>
      </c>
      <c r="B164" t="s">
        <v>107</v>
      </c>
      <c r="C164" t="s">
        <v>10</v>
      </c>
      <c r="D164" t="s">
        <v>32</v>
      </c>
      <c r="E164">
        <v>50</v>
      </c>
      <c r="F164" t="s">
        <v>17</v>
      </c>
      <c r="G164">
        <v>25</v>
      </c>
      <c r="H164">
        <v>22</v>
      </c>
      <c r="I164" t="str">
        <f>_xlfn.XLOOKUP($C164,dim_campaigns!$D$2:$D$3,dim_campaigns!$A$2:$A$3,"",0)</f>
        <v>Sankranti</v>
      </c>
      <c r="J164" s="6">
        <f t="shared" si="4"/>
        <v>-0.12</v>
      </c>
      <c r="K164">
        <f t="shared" si="5"/>
        <v>2075</v>
      </c>
      <c r="L164" t="str">
        <f>VLOOKUP($B164,dim_stores!$A$1:$C$51,2,0)</f>
        <v>Coimbatore</v>
      </c>
    </row>
    <row r="165" spans="1:12" x14ac:dyDescent="0.3">
      <c r="A165" t="s">
        <v>228</v>
      </c>
      <c r="B165" t="s">
        <v>123</v>
      </c>
      <c r="C165" t="s">
        <v>10</v>
      </c>
      <c r="D165" t="s">
        <v>43</v>
      </c>
      <c r="E165">
        <v>415</v>
      </c>
      <c r="F165" t="s">
        <v>17</v>
      </c>
      <c r="G165">
        <v>39</v>
      </c>
      <c r="H165">
        <v>36</v>
      </c>
      <c r="I165" t="str">
        <f>_xlfn.XLOOKUP($C165,dim_campaigns!$D$2:$D$3,dim_campaigns!$A$2:$A$3,"",0)</f>
        <v>Sankranti</v>
      </c>
      <c r="J165" s="6">
        <f t="shared" si="4"/>
        <v>-7.6923076923076927E-2</v>
      </c>
      <c r="K165">
        <f t="shared" si="5"/>
        <v>27390</v>
      </c>
      <c r="L165" t="str">
        <f>VLOOKUP($B165,dim_stores!$A$1:$C$51,2,0)</f>
        <v>Bengaluru</v>
      </c>
    </row>
    <row r="166" spans="1:12" x14ac:dyDescent="0.3">
      <c r="A166" t="s">
        <v>229</v>
      </c>
      <c r="B166" t="s">
        <v>75</v>
      </c>
      <c r="C166" t="s">
        <v>15</v>
      </c>
      <c r="D166" t="s">
        <v>32</v>
      </c>
      <c r="E166">
        <v>65</v>
      </c>
      <c r="F166" t="s">
        <v>12</v>
      </c>
      <c r="G166">
        <v>68</v>
      </c>
      <c r="H166">
        <v>76</v>
      </c>
      <c r="I166" t="str">
        <f>_xlfn.XLOOKUP($C166,dim_campaigns!$D$2:$D$3,dim_campaigns!$A$2:$A$3,"",0)</f>
        <v>Diwali</v>
      </c>
      <c r="J166" s="6">
        <f t="shared" si="4"/>
        <v>0.11764705882352941</v>
      </c>
      <c r="K166">
        <f t="shared" si="5"/>
        <v>6890</v>
      </c>
      <c r="L166" t="str">
        <f>VLOOKUP($B166,dim_stores!$A$1:$C$51,2,0)</f>
        <v>Madurai</v>
      </c>
    </row>
    <row r="167" spans="1:12" x14ac:dyDescent="0.3">
      <c r="A167" t="s">
        <v>230</v>
      </c>
      <c r="B167" t="s">
        <v>81</v>
      </c>
      <c r="C167" t="s">
        <v>15</v>
      </c>
      <c r="D167" t="s">
        <v>16</v>
      </c>
      <c r="E167">
        <v>156</v>
      </c>
      <c r="F167" t="s">
        <v>17</v>
      </c>
      <c r="G167">
        <v>241</v>
      </c>
      <c r="H167">
        <v>209</v>
      </c>
      <c r="I167" t="str">
        <f>_xlfn.XLOOKUP($C167,dim_campaigns!$D$2:$D$3,dim_campaigns!$A$2:$A$3,"",0)</f>
        <v>Diwali</v>
      </c>
      <c r="J167" s="6">
        <f t="shared" si="4"/>
        <v>-0.13278008298755187</v>
      </c>
      <c r="K167">
        <f t="shared" si="5"/>
        <v>62049</v>
      </c>
      <c r="L167" t="str">
        <f>VLOOKUP($B167,dim_stores!$A$1:$C$51,2,0)</f>
        <v>Madurai</v>
      </c>
    </row>
    <row r="168" spans="1:12" x14ac:dyDescent="0.3">
      <c r="A168" t="s">
        <v>231</v>
      </c>
      <c r="B168" t="s">
        <v>29</v>
      </c>
      <c r="C168" t="s">
        <v>15</v>
      </c>
      <c r="D168" t="s">
        <v>32</v>
      </c>
      <c r="E168">
        <v>65</v>
      </c>
      <c r="F168" t="s">
        <v>12</v>
      </c>
      <c r="G168">
        <v>92</v>
      </c>
      <c r="H168">
        <v>120</v>
      </c>
      <c r="I168" t="str">
        <f>_xlfn.XLOOKUP($C168,dim_campaigns!$D$2:$D$3,dim_campaigns!$A$2:$A$3,"",0)</f>
        <v>Diwali</v>
      </c>
      <c r="J168" s="6">
        <f t="shared" si="4"/>
        <v>0.30434782608695654</v>
      </c>
      <c r="K168">
        <f t="shared" si="5"/>
        <v>9880</v>
      </c>
      <c r="L168" t="str">
        <f>VLOOKUP($B168,dim_stores!$A$1:$C$51,2,0)</f>
        <v>Bengaluru</v>
      </c>
    </row>
    <row r="169" spans="1:12" x14ac:dyDescent="0.3">
      <c r="A169" t="s">
        <v>232</v>
      </c>
      <c r="B169" t="s">
        <v>139</v>
      </c>
      <c r="C169" t="s">
        <v>15</v>
      </c>
      <c r="D169" t="s">
        <v>32</v>
      </c>
      <c r="E169">
        <v>65</v>
      </c>
      <c r="F169" t="s">
        <v>12</v>
      </c>
      <c r="G169">
        <v>68</v>
      </c>
      <c r="H169">
        <v>76</v>
      </c>
      <c r="I169" t="str">
        <f>_xlfn.XLOOKUP($C169,dim_campaigns!$D$2:$D$3,dim_campaigns!$A$2:$A$3,"",0)</f>
        <v>Diwali</v>
      </c>
      <c r="J169" s="6">
        <f t="shared" si="4"/>
        <v>0.11764705882352941</v>
      </c>
      <c r="K169">
        <f t="shared" si="5"/>
        <v>6890</v>
      </c>
      <c r="L169" t="str">
        <f>VLOOKUP($B169,dim_stores!$A$1:$C$51,2,0)</f>
        <v>Visakhapatnam</v>
      </c>
    </row>
    <row r="170" spans="1:12" x14ac:dyDescent="0.3">
      <c r="A170" t="s">
        <v>233</v>
      </c>
      <c r="B170" t="s">
        <v>91</v>
      </c>
      <c r="C170" t="s">
        <v>15</v>
      </c>
      <c r="D170" t="s">
        <v>85</v>
      </c>
      <c r="E170">
        <v>110</v>
      </c>
      <c r="F170" t="s">
        <v>12</v>
      </c>
      <c r="G170">
        <v>92</v>
      </c>
      <c r="H170">
        <v>147</v>
      </c>
      <c r="I170" t="str">
        <f>_xlfn.XLOOKUP($C170,dim_campaigns!$D$2:$D$3,dim_campaigns!$A$2:$A$3,"",0)</f>
        <v>Diwali</v>
      </c>
      <c r="J170" s="6">
        <f t="shared" si="4"/>
        <v>0.59782608695652173</v>
      </c>
      <c r="K170">
        <f t="shared" si="5"/>
        <v>18205</v>
      </c>
      <c r="L170" t="str">
        <f>VLOOKUP($B170,dim_stores!$A$1:$C$51,2,0)</f>
        <v>Hyderabad</v>
      </c>
    </row>
    <row r="171" spans="1:12" x14ac:dyDescent="0.3">
      <c r="A171" t="s">
        <v>234</v>
      </c>
      <c r="B171" t="s">
        <v>37</v>
      </c>
      <c r="C171" t="s">
        <v>15</v>
      </c>
      <c r="D171" t="s">
        <v>43</v>
      </c>
      <c r="E171">
        <v>415</v>
      </c>
      <c r="F171" t="s">
        <v>17</v>
      </c>
      <c r="G171">
        <v>68</v>
      </c>
      <c r="H171">
        <v>61</v>
      </c>
      <c r="I171" t="str">
        <f>_xlfn.XLOOKUP($C171,dim_campaigns!$D$2:$D$3,dim_campaigns!$A$2:$A$3,"",0)</f>
        <v>Diwali</v>
      </c>
      <c r="J171" s="6">
        <f t="shared" si="4"/>
        <v>-0.10294117647058823</v>
      </c>
      <c r="K171">
        <f t="shared" si="5"/>
        <v>47206.25</v>
      </c>
      <c r="L171" t="str">
        <f>VLOOKUP($B171,dim_stores!$A$1:$C$51,2,0)</f>
        <v>Coimbatore</v>
      </c>
    </row>
    <row r="172" spans="1:12" x14ac:dyDescent="0.3">
      <c r="A172" t="s">
        <v>235</v>
      </c>
      <c r="B172" t="s">
        <v>174</v>
      </c>
      <c r="C172" t="s">
        <v>10</v>
      </c>
      <c r="D172" t="s">
        <v>20</v>
      </c>
      <c r="E172">
        <v>300</v>
      </c>
      <c r="F172" t="s">
        <v>21</v>
      </c>
      <c r="G172">
        <v>21</v>
      </c>
      <c r="H172">
        <v>82</v>
      </c>
      <c r="I172" t="str">
        <f>_xlfn.XLOOKUP($C172,dim_campaigns!$D$2:$D$3,dim_campaigns!$A$2:$A$3,"",0)</f>
        <v>Sankranti</v>
      </c>
      <c r="J172" s="6">
        <f t="shared" si="4"/>
        <v>2.9047619047619047</v>
      </c>
      <c r="K172">
        <f t="shared" si="5"/>
        <v>18600</v>
      </c>
      <c r="L172" t="str">
        <f>VLOOKUP($B172,dim_stores!$A$1:$C$51,2,0)</f>
        <v>Trivandrum</v>
      </c>
    </row>
    <row r="173" spans="1:12" x14ac:dyDescent="0.3">
      <c r="A173" t="s">
        <v>236</v>
      </c>
      <c r="B173" t="s">
        <v>126</v>
      </c>
      <c r="C173" t="s">
        <v>10</v>
      </c>
      <c r="D173" t="s">
        <v>48</v>
      </c>
      <c r="E173">
        <v>62</v>
      </c>
      <c r="F173" t="s">
        <v>12</v>
      </c>
      <c r="G173">
        <v>33</v>
      </c>
      <c r="H173">
        <v>47</v>
      </c>
      <c r="I173" t="str">
        <f>_xlfn.XLOOKUP($C173,dim_campaigns!$D$2:$D$3,dim_campaigns!$A$2:$A$3,"",0)</f>
        <v>Sankranti</v>
      </c>
      <c r="J173" s="6">
        <f t="shared" si="4"/>
        <v>0.42424242424242425</v>
      </c>
      <c r="K173">
        <f t="shared" si="5"/>
        <v>3503</v>
      </c>
      <c r="L173" t="str">
        <f>VLOOKUP($B173,dim_stores!$A$1:$C$51,2,0)</f>
        <v>Mangalore</v>
      </c>
    </row>
    <row r="174" spans="1:12" x14ac:dyDescent="0.3">
      <c r="A174" t="s">
        <v>237</v>
      </c>
      <c r="B174" t="s">
        <v>27</v>
      </c>
      <c r="C174" t="s">
        <v>10</v>
      </c>
      <c r="D174" t="s">
        <v>28</v>
      </c>
      <c r="E174">
        <v>55</v>
      </c>
      <c r="F174" t="s">
        <v>17</v>
      </c>
      <c r="G174">
        <v>25</v>
      </c>
      <c r="H174">
        <v>20</v>
      </c>
      <c r="I174" t="str">
        <f>_xlfn.XLOOKUP($C174,dim_campaigns!$D$2:$D$3,dim_campaigns!$A$2:$A$3,"",0)</f>
        <v>Sankranti</v>
      </c>
      <c r="J174" s="6">
        <f t="shared" si="4"/>
        <v>-0.2</v>
      </c>
      <c r="K174">
        <f t="shared" si="5"/>
        <v>2200</v>
      </c>
      <c r="L174" t="str">
        <f>VLOOKUP($B174,dim_stores!$A$1:$C$51,2,0)</f>
        <v>Bengaluru</v>
      </c>
    </row>
    <row r="175" spans="1:12" x14ac:dyDescent="0.3">
      <c r="A175" t="s">
        <v>238</v>
      </c>
      <c r="B175" t="s">
        <v>84</v>
      </c>
      <c r="C175" t="s">
        <v>15</v>
      </c>
      <c r="D175" t="s">
        <v>32</v>
      </c>
      <c r="E175">
        <v>65</v>
      </c>
      <c r="F175" t="s">
        <v>12</v>
      </c>
      <c r="G175">
        <v>103</v>
      </c>
      <c r="H175">
        <v>158</v>
      </c>
      <c r="I175" t="str">
        <f>_xlfn.XLOOKUP($C175,dim_campaigns!$D$2:$D$3,dim_campaigns!$A$2:$A$3,"",0)</f>
        <v>Diwali</v>
      </c>
      <c r="J175" s="6">
        <f t="shared" si="4"/>
        <v>0.53398058252427183</v>
      </c>
      <c r="K175">
        <f t="shared" si="5"/>
        <v>11830</v>
      </c>
      <c r="L175" t="str">
        <f>VLOOKUP($B175,dim_stores!$A$1:$C$51,2,0)</f>
        <v>Mysuru</v>
      </c>
    </row>
    <row r="176" spans="1:12" x14ac:dyDescent="0.3">
      <c r="A176" t="s">
        <v>239</v>
      </c>
      <c r="B176" t="s">
        <v>95</v>
      </c>
      <c r="C176" t="s">
        <v>10</v>
      </c>
      <c r="D176" t="s">
        <v>38</v>
      </c>
      <c r="E176">
        <v>1190</v>
      </c>
      <c r="F176" t="s">
        <v>21</v>
      </c>
      <c r="G176">
        <v>60</v>
      </c>
      <c r="H176">
        <v>238</v>
      </c>
      <c r="I176" t="str">
        <f>_xlfn.XLOOKUP($C176,dim_campaigns!$D$2:$D$3,dim_campaigns!$A$2:$A$3,"",0)</f>
        <v>Sankranti</v>
      </c>
      <c r="J176" s="6">
        <f t="shared" si="4"/>
        <v>2.9666666666666668</v>
      </c>
      <c r="K176">
        <f t="shared" si="5"/>
        <v>213010</v>
      </c>
      <c r="L176" t="str">
        <f>VLOOKUP($B176,dim_stores!$A$1:$C$51,2,0)</f>
        <v>Hyderabad</v>
      </c>
    </row>
    <row r="177" spans="1:12" x14ac:dyDescent="0.3">
      <c r="A177" t="s">
        <v>240</v>
      </c>
      <c r="B177" t="s">
        <v>60</v>
      </c>
      <c r="C177" t="s">
        <v>15</v>
      </c>
      <c r="D177" t="s">
        <v>32</v>
      </c>
      <c r="E177">
        <v>65</v>
      </c>
      <c r="F177" t="s">
        <v>12</v>
      </c>
      <c r="G177">
        <v>68</v>
      </c>
      <c r="H177">
        <v>93</v>
      </c>
      <c r="I177" t="str">
        <f>_xlfn.XLOOKUP($C177,dim_campaigns!$D$2:$D$3,dim_campaigns!$A$2:$A$3,"",0)</f>
        <v>Diwali</v>
      </c>
      <c r="J177" s="6">
        <f t="shared" si="4"/>
        <v>0.36764705882352944</v>
      </c>
      <c r="K177">
        <f t="shared" si="5"/>
        <v>7442.5</v>
      </c>
      <c r="L177" t="str">
        <f>VLOOKUP($B177,dim_stores!$A$1:$C$51,2,0)</f>
        <v>Trivandrum</v>
      </c>
    </row>
    <row r="178" spans="1:12" x14ac:dyDescent="0.3">
      <c r="A178" t="s">
        <v>241</v>
      </c>
      <c r="B178" t="s">
        <v>126</v>
      </c>
      <c r="C178" t="s">
        <v>15</v>
      </c>
      <c r="D178" t="s">
        <v>38</v>
      </c>
      <c r="E178">
        <v>1190</v>
      </c>
      <c r="F178" t="s">
        <v>21</v>
      </c>
      <c r="G178">
        <v>24</v>
      </c>
      <c r="H178">
        <v>70</v>
      </c>
      <c r="I178" t="str">
        <f>_xlfn.XLOOKUP($C178,dim_campaigns!$D$2:$D$3,dim_campaigns!$A$2:$A$3,"",0)</f>
        <v>Diwali</v>
      </c>
      <c r="J178" s="6">
        <f t="shared" si="4"/>
        <v>1.9166666666666667</v>
      </c>
      <c r="K178">
        <f t="shared" si="5"/>
        <v>70210</v>
      </c>
      <c r="L178" t="str">
        <f>VLOOKUP($B178,dim_stores!$A$1:$C$51,2,0)</f>
        <v>Mangalore</v>
      </c>
    </row>
    <row r="179" spans="1:12" x14ac:dyDescent="0.3">
      <c r="A179" t="s">
        <v>242</v>
      </c>
      <c r="B179" t="s">
        <v>75</v>
      </c>
      <c r="C179" t="s">
        <v>15</v>
      </c>
      <c r="D179" t="s">
        <v>53</v>
      </c>
      <c r="E179">
        <v>860</v>
      </c>
      <c r="F179" t="s">
        <v>54</v>
      </c>
      <c r="G179">
        <v>276</v>
      </c>
      <c r="H179">
        <v>345</v>
      </c>
      <c r="I179" t="str">
        <f>_xlfn.XLOOKUP($C179,dim_campaigns!$D$2:$D$3,dim_campaigns!$A$2:$A$3,"",0)</f>
        <v>Diwali</v>
      </c>
      <c r="J179" s="6">
        <f t="shared" si="4"/>
        <v>0.25</v>
      </c>
      <c r="K179">
        <f t="shared" si="5"/>
        <v>436149</v>
      </c>
      <c r="L179" t="str">
        <f>VLOOKUP($B179,dim_stores!$A$1:$C$51,2,0)</f>
        <v>Madurai</v>
      </c>
    </row>
    <row r="180" spans="1:12" x14ac:dyDescent="0.3">
      <c r="A180" t="s">
        <v>243</v>
      </c>
      <c r="B180" t="s">
        <v>14</v>
      </c>
      <c r="C180" t="s">
        <v>10</v>
      </c>
      <c r="D180" t="s">
        <v>68</v>
      </c>
      <c r="E180">
        <v>1020</v>
      </c>
      <c r="F180" t="s">
        <v>21</v>
      </c>
      <c r="G180">
        <v>97</v>
      </c>
      <c r="H180">
        <v>385</v>
      </c>
      <c r="I180" t="str">
        <f>_xlfn.XLOOKUP($C180,dim_campaigns!$D$2:$D$3,dim_campaigns!$A$2:$A$3,"",0)</f>
        <v>Sankranti</v>
      </c>
      <c r="J180" s="6">
        <f t="shared" si="4"/>
        <v>2.9690721649484537</v>
      </c>
      <c r="K180">
        <f t="shared" si="5"/>
        <v>295290</v>
      </c>
      <c r="L180" t="str">
        <f>VLOOKUP($B180,dim_stores!$A$1:$C$51,2,0)</f>
        <v>Bengaluru</v>
      </c>
    </row>
    <row r="181" spans="1:12" x14ac:dyDescent="0.3">
      <c r="A181" t="s">
        <v>244</v>
      </c>
      <c r="B181" t="s">
        <v>126</v>
      </c>
      <c r="C181" t="s">
        <v>10</v>
      </c>
      <c r="D181" t="s">
        <v>20</v>
      </c>
      <c r="E181">
        <v>300</v>
      </c>
      <c r="F181" t="s">
        <v>21</v>
      </c>
      <c r="G181">
        <v>21</v>
      </c>
      <c r="H181">
        <v>54</v>
      </c>
      <c r="I181" t="str">
        <f>_xlfn.XLOOKUP($C181,dim_campaigns!$D$2:$D$3,dim_campaigns!$A$2:$A$3,"",0)</f>
        <v>Sankranti</v>
      </c>
      <c r="J181" s="6">
        <f t="shared" si="4"/>
        <v>1.5714285714285714</v>
      </c>
      <c r="K181">
        <f t="shared" si="5"/>
        <v>14400</v>
      </c>
      <c r="L181" t="str">
        <f>VLOOKUP($B181,dim_stores!$A$1:$C$51,2,0)</f>
        <v>Mangalore</v>
      </c>
    </row>
    <row r="182" spans="1:12" x14ac:dyDescent="0.3">
      <c r="A182" t="s">
        <v>245</v>
      </c>
      <c r="B182" t="s">
        <v>174</v>
      </c>
      <c r="C182" t="s">
        <v>10</v>
      </c>
      <c r="D182" t="s">
        <v>43</v>
      </c>
      <c r="E182">
        <v>415</v>
      </c>
      <c r="F182" t="s">
        <v>17</v>
      </c>
      <c r="G182">
        <v>21</v>
      </c>
      <c r="H182">
        <v>19</v>
      </c>
      <c r="I182" t="str">
        <f>_xlfn.XLOOKUP($C182,dim_campaigns!$D$2:$D$3,dim_campaigns!$A$2:$A$3,"",0)</f>
        <v>Sankranti</v>
      </c>
      <c r="J182" s="6">
        <f t="shared" si="4"/>
        <v>-9.5238095238095233E-2</v>
      </c>
      <c r="K182">
        <f t="shared" si="5"/>
        <v>14628.75</v>
      </c>
      <c r="L182" t="str">
        <f>VLOOKUP($B182,dim_stores!$A$1:$C$51,2,0)</f>
        <v>Trivandrum</v>
      </c>
    </row>
    <row r="183" spans="1:12" x14ac:dyDescent="0.3">
      <c r="A183" t="s">
        <v>246</v>
      </c>
      <c r="B183" t="s">
        <v>45</v>
      </c>
      <c r="C183" t="s">
        <v>10</v>
      </c>
      <c r="D183" t="s">
        <v>85</v>
      </c>
      <c r="E183">
        <v>90</v>
      </c>
      <c r="F183" t="s">
        <v>17</v>
      </c>
      <c r="G183">
        <v>55</v>
      </c>
      <c r="H183">
        <v>45</v>
      </c>
      <c r="I183" t="str">
        <f>_xlfn.XLOOKUP($C183,dim_campaigns!$D$2:$D$3,dim_campaigns!$A$2:$A$3,"",0)</f>
        <v>Sankranti</v>
      </c>
      <c r="J183" s="6">
        <f t="shared" si="4"/>
        <v>-0.18181818181818182</v>
      </c>
      <c r="K183">
        <f t="shared" si="5"/>
        <v>7987.5</v>
      </c>
      <c r="L183" t="str">
        <f>VLOOKUP($B183,dim_stores!$A$1:$C$51,2,0)</f>
        <v>Hyderabad</v>
      </c>
    </row>
    <row r="184" spans="1:12" x14ac:dyDescent="0.3">
      <c r="A184" t="s">
        <v>247</v>
      </c>
      <c r="B184" t="s">
        <v>65</v>
      </c>
      <c r="C184" t="s">
        <v>15</v>
      </c>
      <c r="D184" t="s">
        <v>20</v>
      </c>
      <c r="E184">
        <v>300</v>
      </c>
      <c r="F184" t="s">
        <v>21</v>
      </c>
      <c r="G184">
        <v>59</v>
      </c>
      <c r="H184">
        <v>195</v>
      </c>
      <c r="I184" t="str">
        <f>_xlfn.XLOOKUP($C184,dim_campaigns!$D$2:$D$3,dim_campaigns!$A$2:$A$3,"",0)</f>
        <v>Diwali</v>
      </c>
      <c r="J184" s="6">
        <f t="shared" si="4"/>
        <v>2.3050847457627119</v>
      </c>
      <c r="K184">
        <f t="shared" si="5"/>
        <v>46950</v>
      </c>
      <c r="L184" t="str">
        <f>VLOOKUP($B184,dim_stores!$A$1:$C$51,2,0)</f>
        <v>Hyderabad</v>
      </c>
    </row>
    <row r="185" spans="1:12" x14ac:dyDescent="0.3">
      <c r="A185" t="s">
        <v>248</v>
      </c>
      <c r="B185" t="s">
        <v>47</v>
      </c>
      <c r="C185" t="s">
        <v>10</v>
      </c>
      <c r="D185" t="s">
        <v>35</v>
      </c>
      <c r="E185">
        <v>350</v>
      </c>
      <c r="F185" t="s">
        <v>21</v>
      </c>
      <c r="G185">
        <v>111</v>
      </c>
      <c r="H185">
        <v>445</v>
      </c>
      <c r="I185" t="str">
        <f>_xlfn.XLOOKUP($C185,dim_campaigns!$D$2:$D$3,dim_campaigns!$A$2:$A$3,"",0)</f>
        <v>Sankranti</v>
      </c>
      <c r="J185" s="6">
        <f t="shared" si="4"/>
        <v>3.0090090090090089</v>
      </c>
      <c r="K185">
        <f t="shared" si="5"/>
        <v>116725</v>
      </c>
      <c r="L185" t="str">
        <f>VLOOKUP($B185,dim_stores!$A$1:$C$51,2,0)</f>
        <v>Chennai</v>
      </c>
    </row>
    <row r="186" spans="1:12" x14ac:dyDescent="0.3">
      <c r="A186" t="s">
        <v>249</v>
      </c>
      <c r="B186" t="s">
        <v>31</v>
      </c>
      <c r="C186" t="s">
        <v>15</v>
      </c>
      <c r="D186" t="s">
        <v>68</v>
      </c>
      <c r="E186">
        <v>1020</v>
      </c>
      <c r="F186" t="s">
        <v>21</v>
      </c>
      <c r="G186">
        <v>33</v>
      </c>
      <c r="H186">
        <v>109</v>
      </c>
      <c r="I186" t="str">
        <f>_xlfn.XLOOKUP($C186,dim_campaigns!$D$2:$D$3,dim_campaigns!$A$2:$A$3,"",0)</f>
        <v>Diwali</v>
      </c>
      <c r="J186" s="6">
        <f t="shared" si="4"/>
        <v>2.3030303030303032</v>
      </c>
      <c r="K186">
        <f t="shared" si="5"/>
        <v>89250</v>
      </c>
      <c r="L186" t="str">
        <f>VLOOKUP($B186,dim_stores!$A$1:$C$51,2,0)</f>
        <v>Visakhapatnam</v>
      </c>
    </row>
    <row r="187" spans="1:12" x14ac:dyDescent="0.3">
      <c r="A187" t="s">
        <v>250</v>
      </c>
      <c r="B187" t="s">
        <v>34</v>
      </c>
      <c r="C187" t="s">
        <v>10</v>
      </c>
      <c r="D187" t="s">
        <v>48</v>
      </c>
      <c r="E187">
        <v>62</v>
      </c>
      <c r="F187" t="s">
        <v>12</v>
      </c>
      <c r="G187">
        <v>52</v>
      </c>
      <c r="H187">
        <v>72</v>
      </c>
      <c r="I187" t="str">
        <f>_xlfn.XLOOKUP($C187,dim_campaigns!$D$2:$D$3,dim_campaigns!$A$2:$A$3,"",0)</f>
        <v>Sankranti</v>
      </c>
      <c r="J187" s="6">
        <f t="shared" si="4"/>
        <v>0.38461538461538464</v>
      </c>
      <c r="K187">
        <f t="shared" si="5"/>
        <v>5456</v>
      </c>
      <c r="L187" t="str">
        <f>VLOOKUP($B187,dim_stores!$A$1:$C$51,2,0)</f>
        <v>Hyderabad</v>
      </c>
    </row>
    <row r="188" spans="1:12" x14ac:dyDescent="0.3">
      <c r="A188" t="s">
        <v>251</v>
      </c>
      <c r="B188" t="s">
        <v>37</v>
      </c>
      <c r="C188" t="s">
        <v>15</v>
      </c>
      <c r="D188" t="s">
        <v>48</v>
      </c>
      <c r="E188">
        <v>62</v>
      </c>
      <c r="F188" t="s">
        <v>12</v>
      </c>
      <c r="G188">
        <v>89</v>
      </c>
      <c r="H188">
        <v>112</v>
      </c>
      <c r="I188" t="str">
        <f>_xlfn.XLOOKUP($C188,dim_campaigns!$D$2:$D$3,dim_campaigns!$A$2:$A$3,"",0)</f>
        <v>Diwali</v>
      </c>
      <c r="J188" s="6">
        <f t="shared" si="4"/>
        <v>0.25842696629213485</v>
      </c>
      <c r="K188">
        <f t="shared" si="5"/>
        <v>8990</v>
      </c>
      <c r="L188" t="str">
        <f>VLOOKUP($B188,dim_stores!$A$1:$C$51,2,0)</f>
        <v>Coimbatore</v>
      </c>
    </row>
    <row r="189" spans="1:12" x14ac:dyDescent="0.3">
      <c r="A189" t="s">
        <v>252</v>
      </c>
      <c r="B189" t="s">
        <v>58</v>
      </c>
      <c r="C189" t="s">
        <v>15</v>
      </c>
      <c r="D189" t="s">
        <v>43</v>
      </c>
      <c r="E189">
        <v>415</v>
      </c>
      <c r="F189" t="s">
        <v>17</v>
      </c>
      <c r="G189">
        <v>87</v>
      </c>
      <c r="H189">
        <v>77</v>
      </c>
      <c r="I189" t="str">
        <f>_xlfn.XLOOKUP($C189,dim_campaigns!$D$2:$D$3,dim_campaigns!$A$2:$A$3,"",0)</f>
        <v>Diwali</v>
      </c>
      <c r="J189" s="6">
        <f t="shared" si="4"/>
        <v>-0.11494252873563218</v>
      </c>
      <c r="K189">
        <f t="shared" si="5"/>
        <v>60071.25</v>
      </c>
      <c r="L189" t="str">
        <f>VLOOKUP($B189,dim_stores!$A$1:$C$51,2,0)</f>
        <v>Chennai</v>
      </c>
    </row>
    <row r="190" spans="1:12" x14ac:dyDescent="0.3">
      <c r="A190" t="s">
        <v>253</v>
      </c>
      <c r="B190" t="s">
        <v>115</v>
      </c>
      <c r="C190" t="s">
        <v>15</v>
      </c>
      <c r="D190" t="s">
        <v>38</v>
      </c>
      <c r="E190">
        <v>1190</v>
      </c>
      <c r="F190" t="s">
        <v>21</v>
      </c>
      <c r="G190">
        <v>47</v>
      </c>
      <c r="H190">
        <v>163</v>
      </c>
      <c r="I190" t="str">
        <f>_xlfn.XLOOKUP($C190,dim_campaigns!$D$2:$D$3,dim_campaigns!$A$2:$A$3,"",0)</f>
        <v>Diwali</v>
      </c>
      <c r="J190" s="6">
        <f t="shared" si="4"/>
        <v>2.4680851063829787</v>
      </c>
      <c r="K190">
        <f t="shared" si="5"/>
        <v>152915</v>
      </c>
      <c r="L190" t="str">
        <f>VLOOKUP($B190,dim_stores!$A$1:$C$51,2,0)</f>
        <v>Bengaluru</v>
      </c>
    </row>
    <row r="191" spans="1:12" x14ac:dyDescent="0.3">
      <c r="A191" s="1">
        <v>111000000000</v>
      </c>
      <c r="B191" t="s">
        <v>96</v>
      </c>
      <c r="C191" t="s">
        <v>10</v>
      </c>
      <c r="D191" t="s">
        <v>11</v>
      </c>
      <c r="E191">
        <v>190</v>
      </c>
      <c r="F191" t="s">
        <v>12</v>
      </c>
      <c r="G191">
        <v>43</v>
      </c>
      <c r="H191">
        <v>48</v>
      </c>
      <c r="I191" t="str">
        <f>_xlfn.XLOOKUP($C191,dim_campaigns!$D$2:$D$3,dim_campaigns!$A$2:$A$3,"",0)</f>
        <v>Sankranti</v>
      </c>
      <c r="J191" s="6">
        <f t="shared" si="4"/>
        <v>0.11627906976744186</v>
      </c>
      <c r="K191">
        <f t="shared" si="5"/>
        <v>12730</v>
      </c>
      <c r="L191" t="str">
        <f>VLOOKUP($B191,dim_stores!$A$1:$C$51,2,0)</f>
        <v>Mysuru</v>
      </c>
    </row>
    <row r="192" spans="1:12" x14ac:dyDescent="0.3">
      <c r="A192" t="s">
        <v>254</v>
      </c>
      <c r="B192" t="s">
        <v>126</v>
      </c>
      <c r="C192" t="s">
        <v>10</v>
      </c>
      <c r="D192" t="s">
        <v>61</v>
      </c>
      <c r="E192">
        <v>172</v>
      </c>
      <c r="F192" t="s">
        <v>54</v>
      </c>
      <c r="G192">
        <v>169</v>
      </c>
      <c r="H192">
        <v>236</v>
      </c>
      <c r="I192" t="str">
        <f>_xlfn.XLOOKUP($C192,dim_campaigns!$D$2:$D$3,dim_campaigns!$A$2:$A$3,"",0)</f>
        <v>Sankranti</v>
      </c>
      <c r="J192" s="6">
        <f t="shared" si="4"/>
        <v>0.39644970414201186</v>
      </c>
      <c r="K192">
        <f t="shared" si="5"/>
        <v>56264.639999999999</v>
      </c>
      <c r="L192" t="str">
        <f>VLOOKUP($B192,dim_stores!$A$1:$C$51,2,0)</f>
        <v>Mangalore</v>
      </c>
    </row>
    <row r="193" spans="1:12" x14ac:dyDescent="0.3">
      <c r="A193" t="s">
        <v>255</v>
      </c>
      <c r="B193" t="s">
        <v>126</v>
      </c>
      <c r="C193" t="s">
        <v>15</v>
      </c>
      <c r="D193" t="s">
        <v>11</v>
      </c>
      <c r="E193">
        <v>190</v>
      </c>
      <c r="F193" t="s">
        <v>12</v>
      </c>
      <c r="G193">
        <v>35</v>
      </c>
      <c r="H193">
        <v>45</v>
      </c>
      <c r="I193" t="str">
        <f>_xlfn.XLOOKUP($C193,dim_campaigns!$D$2:$D$3,dim_campaigns!$A$2:$A$3,"",0)</f>
        <v>Diwali</v>
      </c>
      <c r="J193" s="6">
        <f t="shared" si="4"/>
        <v>0.2857142857142857</v>
      </c>
      <c r="K193">
        <f t="shared" si="5"/>
        <v>10925</v>
      </c>
      <c r="L193" t="str">
        <f>VLOOKUP($B193,dim_stores!$A$1:$C$51,2,0)</f>
        <v>Mangalore</v>
      </c>
    </row>
    <row r="194" spans="1:12" x14ac:dyDescent="0.3">
      <c r="A194" t="s">
        <v>256</v>
      </c>
      <c r="B194" t="s">
        <v>91</v>
      </c>
      <c r="C194" t="s">
        <v>10</v>
      </c>
      <c r="D194" t="s">
        <v>28</v>
      </c>
      <c r="E194">
        <v>55</v>
      </c>
      <c r="F194" t="s">
        <v>17</v>
      </c>
      <c r="G194">
        <v>30</v>
      </c>
      <c r="H194">
        <v>22</v>
      </c>
      <c r="I194" t="str">
        <f>_xlfn.XLOOKUP($C194,dim_campaigns!$D$2:$D$3,dim_campaigns!$A$2:$A$3,"",0)</f>
        <v>Sankranti</v>
      </c>
      <c r="J194" s="6">
        <f t="shared" si="4"/>
        <v>-0.26666666666666666</v>
      </c>
      <c r="K194">
        <f t="shared" si="5"/>
        <v>2557.5</v>
      </c>
      <c r="L194" t="str">
        <f>VLOOKUP($B194,dim_stores!$A$1:$C$51,2,0)</f>
        <v>Hyderabad</v>
      </c>
    </row>
    <row r="195" spans="1:12" x14ac:dyDescent="0.3">
      <c r="A195" t="s">
        <v>257</v>
      </c>
      <c r="B195" t="s">
        <v>58</v>
      </c>
      <c r="C195" t="s">
        <v>15</v>
      </c>
      <c r="D195" t="s">
        <v>35</v>
      </c>
      <c r="E195">
        <v>350</v>
      </c>
      <c r="F195" t="s">
        <v>21</v>
      </c>
      <c r="G195">
        <v>66</v>
      </c>
      <c r="H195">
        <v>226</v>
      </c>
      <c r="I195" t="str">
        <f>_xlfn.XLOOKUP($C195,dim_campaigns!$D$2:$D$3,dim_campaigns!$A$2:$A$3,"",0)</f>
        <v>Diwali</v>
      </c>
      <c r="J195" s="6">
        <f t="shared" ref="J195:J258" si="6">IFERROR((H195-G195)/G195,0)</f>
        <v>2.4242424242424243</v>
      </c>
      <c r="K195">
        <f t="shared" ref="K195:K258" si="7">E195*G195+(E195-IF(F195="500 Cashback",500,IF(F195="BOGOF",E195*50%,IF(F195="25% OFF",E195*25%,IF(F195="33% OFF",E195*33%,IF(F195="50% OFF",E195*50%,0))))))*H195</f>
        <v>62650</v>
      </c>
      <c r="L195" t="str">
        <f>VLOOKUP($B195,dim_stores!$A$1:$C$51,2,0)</f>
        <v>Chennai</v>
      </c>
    </row>
    <row r="196" spans="1:12" x14ac:dyDescent="0.3">
      <c r="A196" t="s">
        <v>258</v>
      </c>
      <c r="B196" t="s">
        <v>52</v>
      </c>
      <c r="C196" t="s">
        <v>15</v>
      </c>
      <c r="D196" t="s">
        <v>61</v>
      </c>
      <c r="E196">
        <v>172</v>
      </c>
      <c r="F196" t="s">
        <v>54</v>
      </c>
      <c r="G196">
        <v>155</v>
      </c>
      <c r="H196">
        <v>218</v>
      </c>
      <c r="I196" t="str">
        <f>_xlfn.XLOOKUP($C196,dim_campaigns!$D$2:$D$3,dim_campaigns!$A$2:$A$3,"",0)</f>
        <v>Diwali</v>
      </c>
      <c r="J196" s="6">
        <f t="shared" si="6"/>
        <v>0.40645161290322579</v>
      </c>
      <c r="K196">
        <f t="shared" si="7"/>
        <v>51782.32</v>
      </c>
      <c r="L196" t="str">
        <f>VLOOKUP($B196,dim_stores!$A$1:$C$51,2,0)</f>
        <v>Visakhapatnam</v>
      </c>
    </row>
    <row r="197" spans="1:12" x14ac:dyDescent="0.3">
      <c r="A197" t="s">
        <v>259</v>
      </c>
      <c r="B197" t="s">
        <v>95</v>
      </c>
      <c r="C197" t="s">
        <v>15</v>
      </c>
      <c r="D197" t="s">
        <v>35</v>
      </c>
      <c r="E197">
        <v>350</v>
      </c>
      <c r="F197" t="s">
        <v>21</v>
      </c>
      <c r="G197">
        <v>82</v>
      </c>
      <c r="H197">
        <v>273</v>
      </c>
      <c r="I197" t="str">
        <f>_xlfn.XLOOKUP($C197,dim_campaigns!$D$2:$D$3,dim_campaigns!$A$2:$A$3,"",0)</f>
        <v>Diwali</v>
      </c>
      <c r="J197" s="6">
        <f t="shared" si="6"/>
        <v>2.3292682926829267</v>
      </c>
      <c r="K197">
        <f t="shared" si="7"/>
        <v>76475</v>
      </c>
      <c r="L197" t="str">
        <f>VLOOKUP($B197,dim_stores!$A$1:$C$51,2,0)</f>
        <v>Hyderabad</v>
      </c>
    </row>
    <row r="198" spans="1:12" x14ac:dyDescent="0.3">
      <c r="A198" t="s">
        <v>260</v>
      </c>
      <c r="B198" t="s">
        <v>93</v>
      </c>
      <c r="C198" t="s">
        <v>10</v>
      </c>
      <c r="D198" t="s">
        <v>61</v>
      </c>
      <c r="E198">
        <v>172</v>
      </c>
      <c r="F198" t="s">
        <v>54</v>
      </c>
      <c r="G198">
        <v>264</v>
      </c>
      <c r="H198">
        <v>361</v>
      </c>
      <c r="I198" t="str">
        <f>_xlfn.XLOOKUP($C198,dim_campaigns!$D$2:$D$3,dim_campaigns!$A$2:$A$3,"",0)</f>
        <v>Sankranti</v>
      </c>
      <c r="J198" s="6">
        <f t="shared" si="6"/>
        <v>0.36742424242424243</v>
      </c>
      <c r="K198">
        <f t="shared" si="7"/>
        <v>87009.64</v>
      </c>
      <c r="L198" t="str">
        <f>VLOOKUP($B198,dim_stores!$A$1:$C$51,2,0)</f>
        <v>Bengaluru</v>
      </c>
    </row>
    <row r="199" spans="1:12" x14ac:dyDescent="0.3">
      <c r="A199" t="s">
        <v>261</v>
      </c>
      <c r="B199" t="s">
        <v>113</v>
      </c>
      <c r="C199" t="s">
        <v>15</v>
      </c>
      <c r="D199" t="s">
        <v>28</v>
      </c>
      <c r="E199">
        <v>55</v>
      </c>
      <c r="F199" t="s">
        <v>17</v>
      </c>
      <c r="G199">
        <v>119</v>
      </c>
      <c r="H199">
        <v>107</v>
      </c>
      <c r="I199" t="str">
        <f>_xlfn.XLOOKUP($C199,dim_campaigns!$D$2:$D$3,dim_campaigns!$A$2:$A$3,"",0)</f>
        <v>Diwali</v>
      </c>
      <c r="J199" s="6">
        <f t="shared" si="6"/>
        <v>-0.10084033613445378</v>
      </c>
      <c r="K199">
        <f t="shared" si="7"/>
        <v>10958.75</v>
      </c>
      <c r="L199" t="str">
        <f>VLOOKUP($B199,dim_stores!$A$1:$C$51,2,0)</f>
        <v>Chennai</v>
      </c>
    </row>
    <row r="200" spans="1:12" x14ac:dyDescent="0.3">
      <c r="A200" t="s">
        <v>262</v>
      </c>
      <c r="B200" t="s">
        <v>70</v>
      </c>
      <c r="C200" t="s">
        <v>10</v>
      </c>
      <c r="D200" t="s">
        <v>35</v>
      </c>
      <c r="E200">
        <v>350</v>
      </c>
      <c r="F200" t="s">
        <v>21</v>
      </c>
      <c r="G200">
        <v>114</v>
      </c>
      <c r="H200">
        <v>502</v>
      </c>
      <c r="I200" t="str">
        <f>_xlfn.XLOOKUP($C200,dim_campaigns!$D$2:$D$3,dim_campaigns!$A$2:$A$3,"",0)</f>
        <v>Sankranti</v>
      </c>
      <c r="J200" s="6">
        <f t="shared" si="6"/>
        <v>3.4035087719298245</v>
      </c>
      <c r="K200">
        <f t="shared" si="7"/>
        <v>127750</v>
      </c>
      <c r="L200" t="str">
        <f>VLOOKUP($B200,dim_stores!$A$1:$C$51,2,0)</f>
        <v>Chennai</v>
      </c>
    </row>
    <row r="201" spans="1:12" x14ac:dyDescent="0.3">
      <c r="A201" t="s">
        <v>263</v>
      </c>
      <c r="B201" t="s">
        <v>19</v>
      </c>
      <c r="C201" t="s">
        <v>10</v>
      </c>
      <c r="D201" t="s">
        <v>68</v>
      </c>
      <c r="E201">
        <v>1020</v>
      </c>
      <c r="F201" t="s">
        <v>21</v>
      </c>
      <c r="G201">
        <v>48</v>
      </c>
      <c r="H201">
        <v>187</v>
      </c>
      <c r="I201" t="str">
        <f>_xlfn.XLOOKUP($C201,dim_campaigns!$D$2:$D$3,dim_campaigns!$A$2:$A$3,"",0)</f>
        <v>Sankranti</v>
      </c>
      <c r="J201" s="6">
        <f t="shared" si="6"/>
        <v>2.8958333333333335</v>
      </c>
      <c r="K201">
        <f t="shared" si="7"/>
        <v>144330</v>
      </c>
      <c r="L201" t="str">
        <f>VLOOKUP($B201,dim_stores!$A$1:$C$51,2,0)</f>
        <v>Vijayawada</v>
      </c>
    </row>
    <row r="202" spans="1:12" x14ac:dyDescent="0.3">
      <c r="A202" s="1" t="s">
        <v>264</v>
      </c>
      <c r="B202" t="s">
        <v>119</v>
      </c>
      <c r="C202" t="s">
        <v>10</v>
      </c>
      <c r="D202" t="s">
        <v>68</v>
      </c>
      <c r="E202">
        <v>1020</v>
      </c>
      <c r="F202" t="s">
        <v>21</v>
      </c>
      <c r="G202">
        <v>112</v>
      </c>
      <c r="H202">
        <v>460</v>
      </c>
      <c r="I202" t="str">
        <f>_xlfn.XLOOKUP($C202,dim_campaigns!$D$2:$D$3,dim_campaigns!$A$2:$A$3,"",0)</f>
        <v>Sankranti</v>
      </c>
      <c r="J202" s="6">
        <f t="shared" si="6"/>
        <v>3.1071428571428572</v>
      </c>
      <c r="K202">
        <f t="shared" si="7"/>
        <v>348840</v>
      </c>
      <c r="L202" t="str">
        <f>VLOOKUP($B202,dim_stores!$A$1:$C$51,2,0)</f>
        <v>Chennai</v>
      </c>
    </row>
    <row r="203" spans="1:12" x14ac:dyDescent="0.3">
      <c r="A203" t="s">
        <v>265</v>
      </c>
      <c r="B203" t="s">
        <v>110</v>
      </c>
      <c r="C203" t="s">
        <v>15</v>
      </c>
      <c r="D203" t="s">
        <v>51</v>
      </c>
      <c r="E203">
        <v>290</v>
      </c>
      <c r="F203" t="s">
        <v>17</v>
      </c>
      <c r="G203">
        <v>309</v>
      </c>
      <c r="H203">
        <v>265</v>
      </c>
      <c r="I203" t="str">
        <f>_xlfn.XLOOKUP($C203,dim_campaigns!$D$2:$D$3,dim_campaigns!$A$2:$A$3,"",0)</f>
        <v>Diwali</v>
      </c>
      <c r="J203" s="6">
        <f t="shared" si="6"/>
        <v>-0.14239482200647249</v>
      </c>
      <c r="K203">
        <f t="shared" si="7"/>
        <v>147247.5</v>
      </c>
      <c r="L203" t="str">
        <f>VLOOKUP($B203,dim_stores!$A$1:$C$51,2,0)</f>
        <v>Chennai</v>
      </c>
    </row>
    <row r="204" spans="1:12" x14ac:dyDescent="0.3">
      <c r="A204">
        <v>591730</v>
      </c>
      <c r="B204" t="s">
        <v>193</v>
      </c>
      <c r="C204" t="s">
        <v>10</v>
      </c>
      <c r="D204" t="s">
        <v>85</v>
      </c>
      <c r="E204">
        <v>90</v>
      </c>
      <c r="F204" t="s">
        <v>17</v>
      </c>
      <c r="G204">
        <v>64</v>
      </c>
      <c r="H204">
        <v>53</v>
      </c>
      <c r="I204" t="str">
        <f>_xlfn.XLOOKUP($C204,dim_campaigns!$D$2:$D$3,dim_campaigns!$A$2:$A$3,"",0)</f>
        <v>Sankranti</v>
      </c>
      <c r="J204" s="6">
        <f t="shared" si="6"/>
        <v>-0.171875</v>
      </c>
      <c r="K204">
        <f t="shared" si="7"/>
        <v>9337.5</v>
      </c>
      <c r="L204" t="str">
        <f>VLOOKUP($B204,dim_stores!$A$1:$C$51,2,0)</f>
        <v>Bengaluru</v>
      </c>
    </row>
    <row r="205" spans="1:12" x14ac:dyDescent="0.3">
      <c r="A205" t="s">
        <v>266</v>
      </c>
      <c r="B205" t="s">
        <v>42</v>
      </c>
      <c r="C205" t="s">
        <v>15</v>
      </c>
      <c r="D205" t="s">
        <v>53</v>
      </c>
      <c r="E205">
        <v>860</v>
      </c>
      <c r="F205" t="s">
        <v>54</v>
      </c>
      <c r="G205">
        <v>283</v>
      </c>
      <c r="H205">
        <v>430</v>
      </c>
      <c r="I205" t="str">
        <f>_xlfn.XLOOKUP($C205,dim_campaigns!$D$2:$D$3,dim_campaigns!$A$2:$A$3,"",0)</f>
        <v>Diwali</v>
      </c>
      <c r="J205" s="6">
        <f t="shared" si="6"/>
        <v>0.51943462897526504</v>
      </c>
      <c r="K205">
        <f t="shared" si="7"/>
        <v>491146</v>
      </c>
      <c r="L205" t="str">
        <f>VLOOKUP($B205,dim_stores!$A$1:$C$51,2,0)</f>
        <v>Mysuru</v>
      </c>
    </row>
    <row r="206" spans="1:12" x14ac:dyDescent="0.3">
      <c r="A206" t="s">
        <v>267</v>
      </c>
      <c r="B206" t="s">
        <v>174</v>
      </c>
      <c r="C206" t="s">
        <v>10</v>
      </c>
      <c r="D206" t="s">
        <v>68</v>
      </c>
      <c r="E206">
        <v>1020</v>
      </c>
      <c r="F206" t="s">
        <v>21</v>
      </c>
      <c r="G206">
        <v>61</v>
      </c>
      <c r="H206">
        <v>234</v>
      </c>
      <c r="I206" t="str">
        <f>_xlfn.XLOOKUP($C206,dim_campaigns!$D$2:$D$3,dim_campaigns!$A$2:$A$3,"",0)</f>
        <v>Sankranti</v>
      </c>
      <c r="J206" s="6">
        <f t="shared" si="6"/>
        <v>2.8360655737704916</v>
      </c>
      <c r="K206">
        <f t="shared" si="7"/>
        <v>181560</v>
      </c>
      <c r="L206" t="str">
        <f>VLOOKUP($B206,dim_stores!$A$1:$C$51,2,0)</f>
        <v>Trivandrum</v>
      </c>
    </row>
    <row r="207" spans="1:12" x14ac:dyDescent="0.3">
      <c r="A207" t="s">
        <v>268</v>
      </c>
      <c r="B207" t="s">
        <v>81</v>
      </c>
      <c r="C207" t="s">
        <v>10</v>
      </c>
      <c r="D207" t="s">
        <v>43</v>
      </c>
      <c r="E207">
        <v>415</v>
      </c>
      <c r="F207" t="s">
        <v>17</v>
      </c>
      <c r="G207">
        <v>21</v>
      </c>
      <c r="H207">
        <v>17</v>
      </c>
      <c r="I207" t="str">
        <f>_xlfn.XLOOKUP($C207,dim_campaigns!$D$2:$D$3,dim_campaigns!$A$2:$A$3,"",0)</f>
        <v>Sankranti</v>
      </c>
      <c r="J207" s="6">
        <f t="shared" si="6"/>
        <v>-0.19047619047619047</v>
      </c>
      <c r="K207">
        <f t="shared" si="7"/>
        <v>14006.25</v>
      </c>
      <c r="L207" t="str">
        <f>VLOOKUP($B207,dim_stores!$A$1:$C$51,2,0)</f>
        <v>Madurai</v>
      </c>
    </row>
    <row r="208" spans="1:12" x14ac:dyDescent="0.3">
      <c r="A208" t="s">
        <v>269</v>
      </c>
      <c r="B208" t="s">
        <v>95</v>
      </c>
      <c r="C208" t="s">
        <v>10</v>
      </c>
      <c r="D208" t="s">
        <v>28</v>
      </c>
      <c r="E208">
        <v>55</v>
      </c>
      <c r="F208" t="s">
        <v>17</v>
      </c>
      <c r="G208">
        <v>24</v>
      </c>
      <c r="H208">
        <v>18</v>
      </c>
      <c r="I208" t="str">
        <f>_xlfn.XLOOKUP($C208,dim_campaigns!$D$2:$D$3,dim_campaigns!$A$2:$A$3,"",0)</f>
        <v>Sankranti</v>
      </c>
      <c r="J208" s="6">
        <f t="shared" si="6"/>
        <v>-0.25</v>
      </c>
      <c r="K208">
        <f t="shared" si="7"/>
        <v>2062.5</v>
      </c>
      <c r="L208" t="str">
        <f>VLOOKUP($B208,dim_stores!$A$1:$C$51,2,0)</f>
        <v>Hyderabad</v>
      </c>
    </row>
    <row r="209" spans="1:12" x14ac:dyDescent="0.3">
      <c r="A209" t="s">
        <v>270</v>
      </c>
      <c r="B209" t="s">
        <v>117</v>
      </c>
      <c r="C209" t="s">
        <v>10</v>
      </c>
      <c r="D209" t="s">
        <v>16</v>
      </c>
      <c r="E209">
        <v>200</v>
      </c>
      <c r="F209" t="s">
        <v>21</v>
      </c>
      <c r="G209">
        <v>195</v>
      </c>
      <c r="H209">
        <v>776</v>
      </c>
      <c r="I209" t="str">
        <f>_xlfn.XLOOKUP($C209,dim_campaigns!$D$2:$D$3,dim_campaigns!$A$2:$A$3,"",0)</f>
        <v>Sankranti</v>
      </c>
      <c r="J209" s="6">
        <f t="shared" si="6"/>
        <v>2.9794871794871796</v>
      </c>
      <c r="K209">
        <f t="shared" si="7"/>
        <v>116600</v>
      </c>
      <c r="L209" t="str">
        <f>VLOOKUP($B209,dim_stores!$A$1:$C$51,2,0)</f>
        <v>Mangalore</v>
      </c>
    </row>
    <row r="210" spans="1:12" x14ac:dyDescent="0.3">
      <c r="A210" t="s">
        <v>271</v>
      </c>
      <c r="B210" t="s">
        <v>52</v>
      </c>
      <c r="C210" t="s">
        <v>15</v>
      </c>
      <c r="D210" t="s">
        <v>28</v>
      </c>
      <c r="E210">
        <v>55</v>
      </c>
      <c r="F210" t="s">
        <v>17</v>
      </c>
      <c r="G210">
        <v>89</v>
      </c>
      <c r="H210">
        <v>72</v>
      </c>
      <c r="I210" t="str">
        <f>_xlfn.XLOOKUP($C210,dim_campaigns!$D$2:$D$3,dim_campaigns!$A$2:$A$3,"",0)</f>
        <v>Diwali</v>
      </c>
      <c r="J210" s="6">
        <f t="shared" si="6"/>
        <v>-0.19101123595505617</v>
      </c>
      <c r="K210">
        <f t="shared" si="7"/>
        <v>7865</v>
      </c>
      <c r="L210" t="str">
        <f>VLOOKUP($B210,dim_stores!$A$1:$C$51,2,0)</f>
        <v>Visakhapatnam</v>
      </c>
    </row>
    <row r="211" spans="1:12" x14ac:dyDescent="0.3">
      <c r="A211" t="s">
        <v>272</v>
      </c>
      <c r="B211" t="s">
        <v>60</v>
      </c>
      <c r="C211" t="s">
        <v>15</v>
      </c>
      <c r="D211" t="s">
        <v>53</v>
      </c>
      <c r="E211">
        <v>860</v>
      </c>
      <c r="F211" t="s">
        <v>54</v>
      </c>
      <c r="G211">
        <v>196</v>
      </c>
      <c r="H211">
        <v>303</v>
      </c>
      <c r="I211" t="str">
        <f>_xlfn.XLOOKUP($C211,dim_campaigns!$D$2:$D$3,dim_campaigns!$A$2:$A$3,"",0)</f>
        <v>Diwali</v>
      </c>
      <c r="J211" s="6">
        <f t="shared" si="6"/>
        <v>0.54591836734693877</v>
      </c>
      <c r="K211">
        <f t="shared" si="7"/>
        <v>343148.6</v>
      </c>
      <c r="L211" t="str">
        <f>VLOOKUP($B211,dim_stores!$A$1:$C$51,2,0)</f>
        <v>Trivandrum</v>
      </c>
    </row>
    <row r="212" spans="1:12" x14ac:dyDescent="0.3">
      <c r="A212" t="s">
        <v>273</v>
      </c>
      <c r="B212" t="s">
        <v>19</v>
      </c>
      <c r="C212" t="s">
        <v>10</v>
      </c>
      <c r="D212" t="s">
        <v>85</v>
      </c>
      <c r="E212">
        <v>90</v>
      </c>
      <c r="F212" t="s">
        <v>17</v>
      </c>
      <c r="G212">
        <v>33</v>
      </c>
      <c r="H212">
        <v>30</v>
      </c>
      <c r="I212" t="str">
        <f>_xlfn.XLOOKUP($C212,dim_campaigns!$D$2:$D$3,dim_campaigns!$A$2:$A$3,"",0)</f>
        <v>Sankranti</v>
      </c>
      <c r="J212" s="6">
        <f t="shared" si="6"/>
        <v>-9.0909090909090912E-2</v>
      </c>
      <c r="K212">
        <f t="shared" si="7"/>
        <v>4995</v>
      </c>
      <c r="L212" t="str">
        <f>VLOOKUP($B212,dim_stores!$A$1:$C$51,2,0)</f>
        <v>Vijayawada</v>
      </c>
    </row>
    <row r="213" spans="1:12" x14ac:dyDescent="0.3">
      <c r="A213" t="s">
        <v>274</v>
      </c>
      <c r="B213" t="s">
        <v>103</v>
      </c>
      <c r="C213" t="s">
        <v>15</v>
      </c>
      <c r="D213" t="s">
        <v>38</v>
      </c>
      <c r="E213">
        <v>1190</v>
      </c>
      <c r="F213" t="s">
        <v>21</v>
      </c>
      <c r="G213">
        <v>54</v>
      </c>
      <c r="H213">
        <v>167</v>
      </c>
      <c r="I213" t="str">
        <f>_xlfn.XLOOKUP($C213,dim_campaigns!$D$2:$D$3,dim_campaigns!$A$2:$A$3,"",0)</f>
        <v>Diwali</v>
      </c>
      <c r="J213" s="6">
        <f t="shared" si="6"/>
        <v>2.0925925925925926</v>
      </c>
      <c r="K213">
        <f t="shared" si="7"/>
        <v>163625</v>
      </c>
      <c r="L213" t="str">
        <f>VLOOKUP($B213,dim_stores!$A$1:$C$51,2,0)</f>
        <v>Hyderabad</v>
      </c>
    </row>
    <row r="214" spans="1:12" x14ac:dyDescent="0.3">
      <c r="A214" t="s">
        <v>275</v>
      </c>
      <c r="B214" t="s">
        <v>207</v>
      </c>
      <c r="C214" t="s">
        <v>10</v>
      </c>
      <c r="D214" t="s">
        <v>11</v>
      </c>
      <c r="E214">
        <v>190</v>
      </c>
      <c r="F214" t="s">
        <v>12</v>
      </c>
      <c r="G214">
        <v>42</v>
      </c>
      <c r="H214">
        <v>65</v>
      </c>
      <c r="I214" t="str">
        <f>_xlfn.XLOOKUP($C214,dim_campaigns!$D$2:$D$3,dim_campaigns!$A$2:$A$3,"",0)</f>
        <v>Sankranti</v>
      </c>
      <c r="J214" s="6">
        <f t="shared" si="6"/>
        <v>0.54761904761904767</v>
      </c>
      <c r="K214">
        <f t="shared" si="7"/>
        <v>14155</v>
      </c>
      <c r="L214" t="str">
        <f>VLOOKUP($B214,dim_stores!$A$1:$C$51,2,0)</f>
        <v>Hyderabad</v>
      </c>
    </row>
    <row r="215" spans="1:12" x14ac:dyDescent="0.3">
      <c r="A215" t="s">
        <v>276</v>
      </c>
      <c r="B215" t="s">
        <v>37</v>
      </c>
      <c r="C215" t="s">
        <v>15</v>
      </c>
      <c r="D215" t="s">
        <v>38</v>
      </c>
      <c r="E215">
        <v>1190</v>
      </c>
      <c r="F215" t="s">
        <v>21</v>
      </c>
      <c r="G215">
        <v>40</v>
      </c>
      <c r="H215">
        <v>119</v>
      </c>
      <c r="I215" t="str">
        <f>_xlfn.XLOOKUP($C215,dim_campaigns!$D$2:$D$3,dim_campaigns!$A$2:$A$3,"",0)</f>
        <v>Diwali</v>
      </c>
      <c r="J215" s="6">
        <f t="shared" si="6"/>
        <v>1.9750000000000001</v>
      </c>
      <c r="K215">
        <f t="shared" si="7"/>
        <v>118405</v>
      </c>
      <c r="L215" t="str">
        <f>VLOOKUP($B215,dim_stores!$A$1:$C$51,2,0)</f>
        <v>Coimbatore</v>
      </c>
    </row>
    <row r="216" spans="1:12" x14ac:dyDescent="0.3">
      <c r="A216" t="s">
        <v>277</v>
      </c>
      <c r="B216" t="s">
        <v>110</v>
      </c>
      <c r="C216" t="s">
        <v>15</v>
      </c>
      <c r="D216" t="s">
        <v>24</v>
      </c>
      <c r="E216">
        <v>3000</v>
      </c>
      <c r="F216" t="s">
        <v>25</v>
      </c>
      <c r="G216">
        <v>343</v>
      </c>
      <c r="H216">
        <v>1056</v>
      </c>
      <c r="I216" t="str">
        <f>_xlfn.XLOOKUP($C216,dim_campaigns!$D$2:$D$3,dim_campaigns!$A$2:$A$3,"",0)</f>
        <v>Diwali</v>
      </c>
      <c r="J216" s="6">
        <f t="shared" si="6"/>
        <v>2.0787172011661808</v>
      </c>
      <c r="K216">
        <f t="shared" si="7"/>
        <v>3669000</v>
      </c>
      <c r="L216" t="str">
        <f>VLOOKUP($B216,dim_stores!$A$1:$C$51,2,0)</f>
        <v>Chennai</v>
      </c>
    </row>
    <row r="217" spans="1:12" x14ac:dyDescent="0.3">
      <c r="A217" t="s">
        <v>278</v>
      </c>
      <c r="B217" t="s">
        <v>161</v>
      </c>
      <c r="C217" t="s">
        <v>15</v>
      </c>
      <c r="D217" t="s">
        <v>38</v>
      </c>
      <c r="E217">
        <v>1190</v>
      </c>
      <c r="F217" t="s">
        <v>21</v>
      </c>
      <c r="G217">
        <v>54</v>
      </c>
      <c r="H217">
        <v>218</v>
      </c>
      <c r="I217" t="str">
        <f>_xlfn.XLOOKUP($C217,dim_campaigns!$D$2:$D$3,dim_campaigns!$A$2:$A$3,"",0)</f>
        <v>Diwali</v>
      </c>
      <c r="J217" s="6">
        <f t="shared" si="6"/>
        <v>3.0370370370370372</v>
      </c>
      <c r="K217">
        <f t="shared" si="7"/>
        <v>193970</v>
      </c>
      <c r="L217" t="str">
        <f>VLOOKUP($B217,dim_stores!$A$1:$C$51,2,0)</f>
        <v>Chennai</v>
      </c>
    </row>
    <row r="218" spans="1:12" x14ac:dyDescent="0.3">
      <c r="A218" t="s">
        <v>279</v>
      </c>
      <c r="B218" t="s">
        <v>63</v>
      </c>
      <c r="C218" t="s">
        <v>15</v>
      </c>
      <c r="D218" t="s">
        <v>53</v>
      </c>
      <c r="E218">
        <v>860</v>
      </c>
      <c r="F218" t="s">
        <v>54</v>
      </c>
      <c r="G218">
        <v>253</v>
      </c>
      <c r="H218">
        <v>389</v>
      </c>
      <c r="I218" t="str">
        <f>_xlfn.XLOOKUP($C218,dim_campaigns!$D$2:$D$3,dim_campaigns!$A$2:$A$3,"",0)</f>
        <v>Diwali</v>
      </c>
      <c r="J218" s="6">
        <f t="shared" si="6"/>
        <v>0.53754940711462451</v>
      </c>
      <c r="K218">
        <f t="shared" si="7"/>
        <v>441721.80000000005</v>
      </c>
      <c r="L218" t="str">
        <f>VLOOKUP($B218,dim_stores!$A$1:$C$51,2,0)</f>
        <v>Visakhapatnam</v>
      </c>
    </row>
    <row r="219" spans="1:12" x14ac:dyDescent="0.3">
      <c r="A219" t="s">
        <v>280</v>
      </c>
      <c r="B219" t="s">
        <v>89</v>
      </c>
      <c r="C219" t="s">
        <v>15</v>
      </c>
      <c r="D219" t="s">
        <v>35</v>
      </c>
      <c r="E219">
        <v>350</v>
      </c>
      <c r="F219" t="s">
        <v>21</v>
      </c>
      <c r="G219">
        <v>36</v>
      </c>
      <c r="H219">
        <v>124</v>
      </c>
      <c r="I219" t="str">
        <f>_xlfn.XLOOKUP($C219,dim_campaigns!$D$2:$D$3,dim_campaigns!$A$2:$A$3,"",0)</f>
        <v>Diwali</v>
      </c>
      <c r="J219" s="6">
        <f t="shared" si="6"/>
        <v>2.4444444444444446</v>
      </c>
      <c r="K219">
        <f t="shared" si="7"/>
        <v>34300</v>
      </c>
      <c r="L219" t="str">
        <f>VLOOKUP($B219,dim_stores!$A$1:$C$51,2,0)</f>
        <v>Vijayawada</v>
      </c>
    </row>
    <row r="220" spans="1:12" x14ac:dyDescent="0.3">
      <c r="A220" t="s">
        <v>281</v>
      </c>
      <c r="B220" t="s">
        <v>81</v>
      </c>
      <c r="C220" t="s">
        <v>15</v>
      </c>
      <c r="D220" t="s">
        <v>85</v>
      </c>
      <c r="E220">
        <v>110</v>
      </c>
      <c r="F220" t="s">
        <v>12</v>
      </c>
      <c r="G220">
        <v>43</v>
      </c>
      <c r="H220">
        <v>58</v>
      </c>
      <c r="I220" t="str">
        <f>_xlfn.XLOOKUP($C220,dim_campaigns!$D$2:$D$3,dim_campaigns!$A$2:$A$3,"",0)</f>
        <v>Diwali</v>
      </c>
      <c r="J220" s="6">
        <f t="shared" si="6"/>
        <v>0.34883720930232559</v>
      </c>
      <c r="K220">
        <f t="shared" si="7"/>
        <v>7920</v>
      </c>
      <c r="L220" t="str">
        <f>VLOOKUP($B220,dim_stores!$A$1:$C$51,2,0)</f>
        <v>Madurai</v>
      </c>
    </row>
    <row r="221" spans="1:12" x14ac:dyDescent="0.3">
      <c r="A221" t="s">
        <v>282</v>
      </c>
      <c r="B221" t="s">
        <v>117</v>
      </c>
      <c r="C221" t="s">
        <v>15</v>
      </c>
      <c r="D221" t="s">
        <v>16</v>
      </c>
      <c r="E221">
        <v>156</v>
      </c>
      <c r="F221" t="s">
        <v>17</v>
      </c>
      <c r="G221">
        <v>192</v>
      </c>
      <c r="H221">
        <v>165</v>
      </c>
      <c r="I221" t="str">
        <f>_xlfn.XLOOKUP($C221,dim_campaigns!$D$2:$D$3,dim_campaigns!$A$2:$A$3,"",0)</f>
        <v>Diwali</v>
      </c>
      <c r="J221" s="6">
        <f t="shared" si="6"/>
        <v>-0.140625</v>
      </c>
      <c r="K221">
        <f t="shared" si="7"/>
        <v>49257</v>
      </c>
      <c r="L221" t="str">
        <f>VLOOKUP($B221,dim_stores!$A$1:$C$51,2,0)</f>
        <v>Mangalore</v>
      </c>
    </row>
    <row r="222" spans="1:12" x14ac:dyDescent="0.3">
      <c r="A222" t="s">
        <v>283</v>
      </c>
      <c r="B222" t="s">
        <v>52</v>
      </c>
      <c r="C222" t="s">
        <v>15</v>
      </c>
      <c r="D222" t="s">
        <v>11</v>
      </c>
      <c r="E222">
        <v>190</v>
      </c>
      <c r="F222" t="s">
        <v>12</v>
      </c>
      <c r="G222">
        <v>57</v>
      </c>
      <c r="H222">
        <v>72</v>
      </c>
      <c r="I222" t="str">
        <f>_xlfn.XLOOKUP($C222,dim_campaigns!$D$2:$D$3,dim_campaigns!$A$2:$A$3,"",0)</f>
        <v>Diwali</v>
      </c>
      <c r="J222" s="6">
        <f t="shared" si="6"/>
        <v>0.26315789473684209</v>
      </c>
      <c r="K222">
        <f t="shared" si="7"/>
        <v>17670</v>
      </c>
      <c r="L222" t="str">
        <f>VLOOKUP($B222,dim_stores!$A$1:$C$51,2,0)</f>
        <v>Visakhapatnam</v>
      </c>
    </row>
    <row r="223" spans="1:12" x14ac:dyDescent="0.3">
      <c r="A223" t="s">
        <v>284</v>
      </c>
      <c r="B223" t="s">
        <v>70</v>
      </c>
      <c r="C223" t="s">
        <v>15</v>
      </c>
      <c r="D223" t="s">
        <v>51</v>
      </c>
      <c r="E223">
        <v>290</v>
      </c>
      <c r="F223" t="s">
        <v>17</v>
      </c>
      <c r="G223">
        <v>304</v>
      </c>
      <c r="H223">
        <v>273</v>
      </c>
      <c r="I223" t="str">
        <f>_xlfn.XLOOKUP($C223,dim_campaigns!$D$2:$D$3,dim_campaigns!$A$2:$A$3,"",0)</f>
        <v>Diwali</v>
      </c>
      <c r="J223" s="6">
        <f t="shared" si="6"/>
        <v>-0.10197368421052631</v>
      </c>
      <c r="K223">
        <f t="shared" si="7"/>
        <v>147537.5</v>
      </c>
      <c r="L223" t="str">
        <f>VLOOKUP($B223,dim_stores!$A$1:$C$51,2,0)</f>
        <v>Chennai</v>
      </c>
    </row>
    <row r="224" spans="1:12" x14ac:dyDescent="0.3">
      <c r="A224" t="s">
        <v>285</v>
      </c>
      <c r="B224" t="s">
        <v>67</v>
      </c>
      <c r="C224" t="s">
        <v>15</v>
      </c>
      <c r="D224" t="s">
        <v>61</v>
      </c>
      <c r="E224">
        <v>172</v>
      </c>
      <c r="F224" t="s">
        <v>54</v>
      </c>
      <c r="G224">
        <v>294</v>
      </c>
      <c r="H224">
        <v>438</v>
      </c>
      <c r="I224" t="str">
        <f>_xlfn.XLOOKUP($C224,dim_campaigns!$D$2:$D$3,dim_campaigns!$A$2:$A$3,"",0)</f>
        <v>Diwali</v>
      </c>
      <c r="J224" s="6">
        <f t="shared" si="6"/>
        <v>0.48979591836734693</v>
      </c>
      <c r="K224">
        <f t="shared" si="7"/>
        <v>101043.12</v>
      </c>
      <c r="L224" t="str">
        <f>VLOOKUP($B224,dim_stores!$A$1:$C$51,2,0)</f>
        <v>Bengaluru</v>
      </c>
    </row>
    <row r="225" spans="1:12" x14ac:dyDescent="0.3">
      <c r="A225" t="s">
        <v>286</v>
      </c>
      <c r="B225" t="s">
        <v>89</v>
      </c>
      <c r="C225" t="s">
        <v>15</v>
      </c>
      <c r="D225" t="s">
        <v>53</v>
      </c>
      <c r="E225">
        <v>860</v>
      </c>
      <c r="F225" t="s">
        <v>54</v>
      </c>
      <c r="G225">
        <v>210</v>
      </c>
      <c r="H225">
        <v>321</v>
      </c>
      <c r="I225" t="str">
        <f>_xlfn.XLOOKUP($C225,dim_campaigns!$D$2:$D$3,dim_campaigns!$A$2:$A$3,"",0)</f>
        <v>Diwali</v>
      </c>
      <c r="J225" s="6">
        <f t="shared" si="6"/>
        <v>0.52857142857142858</v>
      </c>
      <c r="K225">
        <f t="shared" si="7"/>
        <v>365560.2</v>
      </c>
      <c r="L225" t="str">
        <f>VLOOKUP($B225,dim_stores!$A$1:$C$51,2,0)</f>
        <v>Vijayawada</v>
      </c>
    </row>
    <row r="226" spans="1:12" x14ac:dyDescent="0.3">
      <c r="A226" t="s">
        <v>287</v>
      </c>
      <c r="B226" t="s">
        <v>29</v>
      </c>
      <c r="C226" t="s">
        <v>15</v>
      </c>
      <c r="D226" t="s">
        <v>51</v>
      </c>
      <c r="E226">
        <v>290</v>
      </c>
      <c r="F226" t="s">
        <v>17</v>
      </c>
      <c r="G226">
        <v>325</v>
      </c>
      <c r="H226">
        <v>289</v>
      </c>
      <c r="I226" t="str">
        <f>_xlfn.XLOOKUP($C226,dim_campaigns!$D$2:$D$3,dim_campaigns!$A$2:$A$3,"",0)</f>
        <v>Diwali</v>
      </c>
      <c r="J226" s="6">
        <f t="shared" si="6"/>
        <v>-0.11076923076923077</v>
      </c>
      <c r="K226">
        <f t="shared" si="7"/>
        <v>157107.5</v>
      </c>
      <c r="L226" t="str">
        <f>VLOOKUP($B226,dim_stores!$A$1:$C$51,2,0)</f>
        <v>Bengaluru</v>
      </c>
    </row>
    <row r="227" spans="1:12" x14ac:dyDescent="0.3">
      <c r="A227" t="s">
        <v>288</v>
      </c>
      <c r="B227" t="s">
        <v>14</v>
      </c>
      <c r="C227" t="s">
        <v>10</v>
      </c>
      <c r="D227" t="s">
        <v>61</v>
      </c>
      <c r="E227">
        <v>172</v>
      </c>
      <c r="F227" t="s">
        <v>54</v>
      </c>
      <c r="G227">
        <v>346</v>
      </c>
      <c r="H227">
        <v>491</v>
      </c>
      <c r="I227" t="str">
        <f>_xlfn.XLOOKUP($C227,dim_campaigns!$D$2:$D$3,dim_campaigns!$A$2:$A$3,"",0)</f>
        <v>Sankranti</v>
      </c>
      <c r="J227" s="6">
        <f t="shared" si="6"/>
        <v>0.41907514450867051</v>
      </c>
      <c r="K227">
        <f t="shared" si="7"/>
        <v>116094.84</v>
      </c>
      <c r="L227" t="str">
        <f>VLOOKUP($B227,dim_stores!$A$1:$C$51,2,0)</f>
        <v>Bengaluru</v>
      </c>
    </row>
    <row r="228" spans="1:12" x14ac:dyDescent="0.3">
      <c r="A228" t="s">
        <v>289</v>
      </c>
      <c r="B228" t="s">
        <v>9</v>
      </c>
      <c r="C228" t="s">
        <v>15</v>
      </c>
      <c r="D228" t="s">
        <v>48</v>
      </c>
      <c r="E228">
        <v>62</v>
      </c>
      <c r="F228" t="s">
        <v>12</v>
      </c>
      <c r="G228">
        <v>89</v>
      </c>
      <c r="H228">
        <v>129</v>
      </c>
      <c r="I228" t="str">
        <f>_xlfn.XLOOKUP($C228,dim_campaigns!$D$2:$D$3,dim_campaigns!$A$2:$A$3,"",0)</f>
        <v>Diwali</v>
      </c>
      <c r="J228" s="6">
        <f t="shared" si="6"/>
        <v>0.449438202247191</v>
      </c>
      <c r="K228">
        <f t="shared" si="7"/>
        <v>9517</v>
      </c>
      <c r="L228" t="str">
        <f>VLOOKUP($B228,dim_stores!$A$1:$C$51,2,0)</f>
        <v>Coimbatore</v>
      </c>
    </row>
    <row r="229" spans="1:12" x14ac:dyDescent="0.3">
      <c r="A229" t="s">
        <v>290</v>
      </c>
      <c r="B229" t="s">
        <v>142</v>
      </c>
      <c r="C229" t="s">
        <v>15</v>
      </c>
      <c r="D229" t="s">
        <v>24</v>
      </c>
      <c r="E229">
        <v>3000</v>
      </c>
      <c r="F229" t="s">
        <v>25</v>
      </c>
      <c r="G229">
        <v>322</v>
      </c>
      <c r="H229">
        <v>985</v>
      </c>
      <c r="I229" t="str">
        <f>_xlfn.XLOOKUP($C229,dim_campaigns!$D$2:$D$3,dim_campaigns!$A$2:$A$3,"",0)</f>
        <v>Diwali</v>
      </c>
      <c r="J229" s="6">
        <f t="shared" si="6"/>
        <v>2.0590062111801242</v>
      </c>
      <c r="K229">
        <f t="shared" si="7"/>
        <v>3428500</v>
      </c>
      <c r="L229" t="str">
        <f>VLOOKUP($B229,dim_stores!$A$1:$C$51,2,0)</f>
        <v>Madurai</v>
      </c>
    </row>
    <row r="230" spans="1:12" x14ac:dyDescent="0.3">
      <c r="A230">
        <v>380012</v>
      </c>
      <c r="B230" t="s">
        <v>75</v>
      </c>
      <c r="C230" t="s">
        <v>15</v>
      </c>
      <c r="D230" t="s">
        <v>43</v>
      </c>
      <c r="E230">
        <v>415</v>
      </c>
      <c r="F230" t="s">
        <v>17</v>
      </c>
      <c r="G230">
        <v>56</v>
      </c>
      <c r="H230">
        <v>50</v>
      </c>
      <c r="I230" t="str">
        <f>_xlfn.XLOOKUP($C230,dim_campaigns!$D$2:$D$3,dim_campaigns!$A$2:$A$3,"",0)</f>
        <v>Diwali</v>
      </c>
      <c r="J230" s="6">
        <f t="shared" si="6"/>
        <v>-0.10714285714285714</v>
      </c>
      <c r="K230">
        <f t="shared" si="7"/>
        <v>38802.5</v>
      </c>
      <c r="L230" t="str">
        <f>VLOOKUP($B230,dim_stores!$A$1:$C$51,2,0)</f>
        <v>Madurai</v>
      </c>
    </row>
    <row r="231" spans="1:12" x14ac:dyDescent="0.3">
      <c r="A231" t="s">
        <v>291</v>
      </c>
      <c r="B231" t="s">
        <v>137</v>
      </c>
      <c r="C231" t="s">
        <v>10</v>
      </c>
      <c r="D231" t="s">
        <v>85</v>
      </c>
      <c r="E231">
        <v>90</v>
      </c>
      <c r="F231" t="s">
        <v>17</v>
      </c>
      <c r="G231">
        <v>33</v>
      </c>
      <c r="H231">
        <v>27</v>
      </c>
      <c r="I231" t="str">
        <f>_xlfn.XLOOKUP($C231,dim_campaigns!$D$2:$D$3,dim_campaigns!$A$2:$A$3,"",0)</f>
        <v>Sankranti</v>
      </c>
      <c r="J231" s="6">
        <f t="shared" si="6"/>
        <v>-0.18181818181818182</v>
      </c>
      <c r="K231">
        <f t="shared" si="7"/>
        <v>4792.5</v>
      </c>
      <c r="L231" t="str">
        <f>VLOOKUP($B231,dim_stores!$A$1:$C$51,2,0)</f>
        <v>Mangalore</v>
      </c>
    </row>
    <row r="232" spans="1:12" x14ac:dyDescent="0.3">
      <c r="A232" t="s">
        <v>292</v>
      </c>
      <c r="B232" t="s">
        <v>119</v>
      </c>
      <c r="C232" t="s">
        <v>15</v>
      </c>
      <c r="D232" t="s">
        <v>51</v>
      </c>
      <c r="E232">
        <v>290</v>
      </c>
      <c r="F232" t="s">
        <v>17</v>
      </c>
      <c r="G232">
        <v>350</v>
      </c>
      <c r="H232">
        <v>311</v>
      </c>
      <c r="I232" t="str">
        <f>_xlfn.XLOOKUP($C232,dim_campaigns!$D$2:$D$3,dim_campaigns!$A$2:$A$3,"",0)</f>
        <v>Diwali</v>
      </c>
      <c r="J232" s="6">
        <f t="shared" si="6"/>
        <v>-0.11142857142857143</v>
      </c>
      <c r="K232">
        <f t="shared" si="7"/>
        <v>169142.5</v>
      </c>
      <c r="L232" t="str">
        <f>VLOOKUP($B232,dim_stores!$A$1:$C$51,2,0)</f>
        <v>Chennai</v>
      </c>
    </row>
    <row r="233" spans="1:12" x14ac:dyDescent="0.3">
      <c r="A233" t="s">
        <v>293</v>
      </c>
      <c r="B233" t="s">
        <v>81</v>
      </c>
      <c r="C233" t="s">
        <v>15</v>
      </c>
      <c r="D233" t="s">
        <v>20</v>
      </c>
      <c r="E233">
        <v>300</v>
      </c>
      <c r="F233" t="s">
        <v>21</v>
      </c>
      <c r="G233">
        <v>49</v>
      </c>
      <c r="H233">
        <v>199</v>
      </c>
      <c r="I233" t="str">
        <f>_xlfn.XLOOKUP($C233,dim_campaigns!$D$2:$D$3,dim_campaigns!$A$2:$A$3,"",0)</f>
        <v>Diwali</v>
      </c>
      <c r="J233" s="6">
        <f t="shared" si="6"/>
        <v>3.0612244897959182</v>
      </c>
      <c r="K233">
        <f t="shared" si="7"/>
        <v>44550</v>
      </c>
      <c r="L233" t="str">
        <f>VLOOKUP($B233,dim_stores!$A$1:$C$51,2,0)</f>
        <v>Madurai</v>
      </c>
    </row>
    <row r="234" spans="1:12" x14ac:dyDescent="0.3">
      <c r="A234" t="s">
        <v>294</v>
      </c>
      <c r="B234" t="s">
        <v>193</v>
      </c>
      <c r="C234" t="s">
        <v>15</v>
      </c>
      <c r="D234" t="s">
        <v>68</v>
      </c>
      <c r="E234">
        <v>1020</v>
      </c>
      <c r="F234" t="s">
        <v>21</v>
      </c>
      <c r="G234">
        <v>47</v>
      </c>
      <c r="H234">
        <v>162</v>
      </c>
      <c r="I234" t="str">
        <f>_xlfn.XLOOKUP($C234,dim_campaigns!$D$2:$D$3,dim_campaigns!$A$2:$A$3,"",0)</f>
        <v>Diwali</v>
      </c>
      <c r="J234" s="6">
        <f t="shared" si="6"/>
        <v>2.4468085106382977</v>
      </c>
      <c r="K234">
        <f t="shared" si="7"/>
        <v>130560</v>
      </c>
      <c r="L234" t="str">
        <f>VLOOKUP($B234,dim_stores!$A$1:$C$51,2,0)</f>
        <v>Bengaluru</v>
      </c>
    </row>
    <row r="235" spans="1:12" x14ac:dyDescent="0.3">
      <c r="A235" t="s">
        <v>295</v>
      </c>
      <c r="B235" t="s">
        <v>137</v>
      </c>
      <c r="C235" t="s">
        <v>15</v>
      </c>
      <c r="D235" t="s">
        <v>48</v>
      </c>
      <c r="E235">
        <v>62</v>
      </c>
      <c r="F235" t="s">
        <v>12</v>
      </c>
      <c r="G235">
        <v>63</v>
      </c>
      <c r="H235">
        <v>71</v>
      </c>
      <c r="I235" t="str">
        <f>_xlfn.XLOOKUP($C235,dim_campaigns!$D$2:$D$3,dim_campaigns!$A$2:$A$3,"",0)</f>
        <v>Diwali</v>
      </c>
      <c r="J235" s="6">
        <f t="shared" si="6"/>
        <v>0.12698412698412698</v>
      </c>
      <c r="K235">
        <f t="shared" si="7"/>
        <v>6107</v>
      </c>
      <c r="L235" t="str">
        <f>VLOOKUP($B235,dim_stores!$A$1:$C$51,2,0)</f>
        <v>Mangalore</v>
      </c>
    </row>
    <row r="236" spans="1:12" x14ac:dyDescent="0.3">
      <c r="A236" t="s">
        <v>296</v>
      </c>
      <c r="B236" t="s">
        <v>142</v>
      </c>
      <c r="C236" t="s">
        <v>15</v>
      </c>
      <c r="D236" t="s">
        <v>51</v>
      </c>
      <c r="E236">
        <v>290</v>
      </c>
      <c r="F236" t="s">
        <v>17</v>
      </c>
      <c r="G236">
        <v>255</v>
      </c>
      <c r="H236">
        <v>219</v>
      </c>
      <c r="I236" t="str">
        <f>_xlfn.XLOOKUP($C236,dim_campaigns!$D$2:$D$3,dim_campaigns!$A$2:$A$3,"",0)</f>
        <v>Diwali</v>
      </c>
      <c r="J236" s="6">
        <f t="shared" si="6"/>
        <v>-0.14117647058823529</v>
      </c>
      <c r="K236">
        <f t="shared" si="7"/>
        <v>121582.5</v>
      </c>
      <c r="L236" t="str">
        <f>VLOOKUP($B236,dim_stores!$A$1:$C$51,2,0)</f>
        <v>Madurai</v>
      </c>
    </row>
    <row r="237" spans="1:12" x14ac:dyDescent="0.3">
      <c r="A237" t="s">
        <v>297</v>
      </c>
      <c r="B237" t="s">
        <v>58</v>
      </c>
      <c r="C237" t="s">
        <v>10</v>
      </c>
      <c r="D237" t="s">
        <v>20</v>
      </c>
      <c r="E237">
        <v>300</v>
      </c>
      <c r="F237" t="s">
        <v>21</v>
      </c>
      <c r="G237">
        <v>43</v>
      </c>
      <c r="H237">
        <v>167</v>
      </c>
      <c r="I237" t="str">
        <f>_xlfn.XLOOKUP($C237,dim_campaigns!$D$2:$D$3,dim_campaigns!$A$2:$A$3,"",0)</f>
        <v>Sankranti</v>
      </c>
      <c r="J237" s="6">
        <f t="shared" si="6"/>
        <v>2.8837209302325579</v>
      </c>
      <c r="K237">
        <f t="shared" si="7"/>
        <v>37950</v>
      </c>
      <c r="L237" t="str">
        <f>VLOOKUP($B237,dim_stores!$A$1:$C$51,2,0)</f>
        <v>Chennai</v>
      </c>
    </row>
    <row r="238" spans="1:12" x14ac:dyDescent="0.3">
      <c r="A238" t="s">
        <v>298</v>
      </c>
      <c r="B238" t="s">
        <v>75</v>
      </c>
      <c r="C238" t="s">
        <v>15</v>
      </c>
      <c r="D238" t="s">
        <v>35</v>
      </c>
      <c r="E238">
        <v>350</v>
      </c>
      <c r="F238" t="s">
        <v>21</v>
      </c>
      <c r="G238">
        <v>56</v>
      </c>
      <c r="H238">
        <v>184</v>
      </c>
      <c r="I238" t="str">
        <f>_xlfn.XLOOKUP($C238,dim_campaigns!$D$2:$D$3,dim_campaigns!$A$2:$A$3,"",0)</f>
        <v>Diwali</v>
      </c>
      <c r="J238" s="6">
        <f t="shared" si="6"/>
        <v>2.2857142857142856</v>
      </c>
      <c r="K238">
        <f t="shared" si="7"/>
        <v>51800</v>
      </c>
      <c r="L238" t="str">
        <f>VLOOKUP($B238,dim_stores!$A$1:$C$51,2,0)</f>
        <v>Madurai</v>
      </c>
    </row>
    <row r="239" spans="1:12" x14ac:dyDescent="0.3">
      <c r="A239" t="s">
        <v>299</v>
      </c>
      <c r="B239" t="s">
        <v>31</v>
      </c>
      <c r="C239" t="s">
        <v>15</v>
      </c>
      <c r="D239" t="s">
        <v>32</v>
      </c>
      <c r="E239">
        <v>65</v>
      </c>
      <c r="F239" t="s">
        <v>12</v>
      </c>
      <c r="G239">
        <v>85</v>
      </c>
      <c r="H239">
        <v>128</v>
      </c>
      <c r="I239" t="str">
        <f>_xlfn.XLOOKUP($C239,dim_campaigns!$D$2:$D$3,dim_campaigns!$A$2:$A$3,"",0)</f>
        <v>Diwali</v>
      </c>
      <c r="J239" s="6">
        <f t="shared" si="6"/>
        <v>0.50588235294117645</v>
      </c>
      <c r="K239">
        <f t="shared" si="7"/>
        <v>9685</v>
      </c>
      <c r="L239" t="str">
        <f>VLOOKUP($B239,dim_stores!$A$1:$C$51,2,0)</f>
        <v>Visakhapatnam</v>
      </c>
    </row>
    <row r="240" spans="1:12" x14ac:dyDescent="0.3">
      <c r="A240" t="s">
        <v>300</v>
      </c>
      <c r="B240" t="s">
        <v>65</v>
      </c>
      <c r="C240" t="s">
        <v>15</v>
      </c>
      <c r="D240" t="s">
        <v>51</v>
      </c>
      <c r="E240">
        <v>290</v>
      </c>
      <c r="F240" t="s">
        <v>17</v>
      </c>
      <c r="G240">
        <v>327</v>
      </c>
      <c r="H240">
        <v>310</v>
      </c>
      <c r="I240" t="str">
        <f>_xlfn.XLOOKUP($C240,dim_campaigns!$D$2:$D$3,dim_campaigns!$A$2:$A$3,"",0)</f>
        <v>Diwali</v>
      </c>
      <c r="J240" s="6">
        <f t="shared" si="6"/>
        <v>-5.1987767584097858E-2</v>
      </c>
      <c r="K240">
        <f t="shared" si="7"/>
        <v>162255</v>
      </c>
      <c r="L240" t="str">
        <f>VLOOKUP($B240,dim_stores!$A$1:$C$51,2,0)</f>
        <v>Hyderabad</v>
      </c>
    </row>
    <row r="241" spans="1:12" x14ac:dyDescent="0.3">
      <c r="A241" t="s">
        <v>301</v>
      </c>
      <c r="B241" t="s">
        <v>103</v>
      </c>
      <c r="C241" t="s">
        <v>10</v>
      </c>
      <c r="D241" t="s">
        <v>38</v>
      </c>
      <c r="E241">
        <v>1190</v>
      </c>
      <c r="F241" t="s">
        <v>21</v>
      </c>
      <c r="G241">
        <v>52</v>
      </c>
      <c r="H241">
        <v>134</v>
      </c>
      <c r="I241" t="str">
        <f>_xlfn.XLOOKUP($C241,dim_campaigns!$D$2:$D$3,dim_campaigns!$A$2:$A$3,"",0)</f>
        <v>Sankranti</v>
      </c>
      <c r="J241" s="6">
        <f t="shared" si="6"/>
        <v>1.5769230769230769</v>
      </c>
      <c r="K241">
        <f t="shared" si="7"/>
        <v>141610</v>
      </c>
      <c r="L241" t="str">
        <f>VLOOKUP($B241,dim_stores!$A$1:$C$51,2,0)</f>
        <v>Hyderabad</v>
      </c>
    </row>
    <row r="242" spans="1:12" x14ac:dyDescent="0.3">
      <c r="A242" t="s">
        <v>302</v>
      </c>
      <c r="B242" t="s">
        <v>63</v>
      </c>
      <c r="C242" t="s">
        <v>15</v>
      </c>
      <c r="D242" t="s">
        <v>61</v>
      </c>
      <c r="E242">
        <v>172</v>
      </c>
      <c r="F242" t="s">
        <v>54</v>
      </c>
      <c r="G242">
        <v>257</v>
      </c>
      <c r="H242">
        <v>364</v>
      </c>
      <c r="I242" t="str">
        <f>_xlfn.XLOOKUP($C242,dim_campaigns!$D$2:$D$3,dim_campaigns!$A$2:$A$3,"",0)</f>
        <v>Diwali</v>
      </c>
      <c r="J242" s="6">
        <f t="shared" si="6"/>
        <v>0.41634241245136189</v>
      </c>
      <c r="K242">
        <f t="shared" si="7"/>
        <v>86151.360000000001</v>
      </c>
      <c r="L242" t="str">
        <f>VLOOKUP($B242,dim_stores!$A$1:$C$51,2,0)</f>
        <v>Visakhapatnam</v>
      </c>
    </row>
    <row r="243" spans="1:12" x14ac:dyDescent="0.3">
      <c r="A243" t="s">
        <v>303</v>
      </c>
      <c r="B243" t="s">
        <v>9</v>
      </c>
      <c r="C243" t="s">
        <v>15</v>
      </c>
      <c r="D243" t="s">
        <v>11</v>
      </c>
      <c r="E243">
        <v>190</v>
      </c>
      <c r="F243" t="s">
        <v>12</v>
      </c>
      <c r="G243">
        <v>40</v>
      </c>
      <c r="H243">
        <v>62</v>
      </c>
      <c r="I243" t="str">
        <f>_xlfn.XLOOKUP($C243,dim_campaigns!$D$2:$D$3,dim_campaigns!$A$2:$A$3,"",0)</f>
        <v>Diwali</v>
      </c>
      <c r="J243" s="6">
        <f t="shared" si="6"/>
        <v>0.55000000000000004</v>
      </c>
      <c r="K243">
        <f t="shared" si="7"/>
        <v>13490</v>
      </c>
      <c r="L243" t="str">
        <f>VLOOKUP($B243,dim_stores!$A$1:$C$51,2,0)</f>
        <v>Coimbatore</v>
      </c>
    </row>
    <row r="244" spans="1:12" x14ac:dyDescent="0.3">
      <c r="A244" t="s">
        <v>304</v>
      </c>
      <c r="B244" t="s">
        <v>139</v>
      </c>
      <c r="C244" t="s">
        <v>15</v>
      </c>
      <c r="D244" t="s">
        <v>68</v>
      </c>
      <c r="E244">
        <v>1020</v>
      </c>
      <c r="F244" t="s">
        <v>21</v>
      </c>
      <c r="G244">
        <v>38</v>
      </c>
      <c r="H244">
        <v>117</v>
      </c>
      <c r="I244" t="str">
        <f>_xlfn.XLOOKUP($C244,dim_campaigns!$D$2:$D$3,dim_campaigns!$A$2:$A$3,"",0)</f>
        <v>Diwali</v>
      </c>
      <c r="J244" s="6">
        <f t="shared" si="6"/>
        <v>2.0789473684210527</v>
      </c>
      <c r="K244">
        <f t="shared" si="7"/>
        <v>98430</v>
      </c>
      <c r="L244" t="str">
        <f>VLOOKUP($B244,dim_stores!$A$1:$C$51,2,0)</f>
        <v>Visakhapatnam</v>
      </c>
    </row>
    <row r="245" spans="1:12" x14ac:dyDescent="0.3">
      <c r="A245">
        <v>939435</v>
      </c>
      <c r="B245" t="s">
        <v>137</v>
      </c>
      <c r="C245" t="s">
        <v>10</v>
      </c>
      <c r="D245" t="s">
        <v>20</v>
      </c>
      <c r="E245">
        <v>300</v>
      </c>
      <c r="F245" t="s">
        <v>21</v>
      </c>
      <c r="G245">
        <v>24</v>
      </c>
      <c r="H245">
        <v>96</v>
      </c>
      <c r="I245" t="str">
        <f>_xlfn.XLOOKUP($C245,dim_campaigns!$D$2:$D$3,dim_campaigns!$A$2:$A$3,"",0)</f>
        <v>Sankranti</v>
      </c>
      <c r="J245" s="6">
        <f t="shared" si="6"/>
        <v>3</v>
      </c>
      <c r="K245">
        <f t="shared" si="7"/>
        <v>21600</v>
      </c>
      <c r="L245" t="str">
        <f>VLOOKUP($B245,dim_stores!$A$1:$C$51,2,0)</f>
        <v>Mangalore</v>
      </c>
    </row>
    <row r="246" spans="1:12" x14ac:dyDescent="0.3">
      <c r="A246" t="s">
        <v>305</v>
      </c>
      <c r="B246" t="s">
        <v>81</v>
      </c>
      <c r="C246" t="s">
        <v>15</v>
      </c>
      <c r="D246" t="s">
        <v>68</v>
      </c>
      <c r="E246">
        <v>1020</v>
      </c>
      <c r="F246" t="s">
        <v>21</v>
      </c>
      <c r="G246">
        <v>33</v>
      </c>
      <c r="H246">
        <v>126</v>
      </c>
      <c r="I246" t="str">
        <f>_xlfn.XLOOKUP($C246,dim_campaigns!$D$2:$D$3,dim_campaigns!$A$2:$A$3,"",0)</f>
        <v>Diwali</v>
      </c>
      <c r="J246" s="6">
        <f t="shared" si="6"/>
        <v>2.8181818181818183</v>
      </c>
      <c r="K246">
        <f t="shared" si="7"/>
        <v>97920</v>
      </c>
      <c r="L246" t="str">
        <f>VLOOKUP($B246,dim_stores!$A$1:$C$51,2,0)</f>
        <v>Madurai</v>
      </c>
    </row>
    <row r="247" spans="1:12" x14ac:dyDescent="0.3">
      <c r="A247" t="s">
        <v>306</v>
      </c>
      <c r="B247" t="s">
        <v>84</v>
      </c>
      <c r="C247" t="s">
        <v>10</v>
      </c>
      <c r="D247" t="s">
        <v>20</v>
      </c>
      <c r="E247">
        <v>300</v>
      </c>
      <c r="F247" t="s">
        <v>21</v>
      </c>
      <c r="G247">
        <v>43</v>
      </c>
      <c r="H247">
        <v>186</v>
      </c>
      <c r="I247" t="str">
        <f>_xlfn.XLOOKUP($C247,dim_campaigns!$D$2:$D$3,dim_campaigns!$A$2:$A$3,"",0)</f>
        <v>Sankranti</v>
      </c>
      <c r="J247" s="6">
        <f t="shared" si="6"/>
        <v>3.3255813953488373</v>
      </c>
      <c r="K247">
        <f t="shared" si="7"/>
        <v>40800</v>
      </c>
      <c r="L247" t="str">
        <f>VLOOKUP($B247,dim_stores!$A$1:$C$51,2,0)</f>
        <v>Mysuru</v>
      </c>
    </row>
    <row r="248" spans="1:12" x14ac:dyDescent="0.3">
      <c r="A248" t="s">
        <v>307</v>
      </c>
      <c r="B248" t="s">
        <v>142</v>
      </c>
      <c r="C248" t="s">
        <v>15</v>
      </c>
      <c r="D248" t="s">
        <v>61</v>
      </c>
      <c r="E248">
        <v>172</v>
      </c>
      <c r="F248" t="s">
        <v>54</v>
      </c>
      <c r="G248">
        <v>187</v>
      </c>
      <c r="H248">
        <v>289</v>
      </c>
      <c r="I248" t="str">
        <f>_xlfn.XLOOKUP($C248,dim_campaigns!$D$2:$D$3,dim_campaigns!$A$2:$A$3,"",0)</f>
        <v>Diwali</v>
      </c>
      <c r="J248" s="6">
        <f t="shared" si="6"/>
        <v>0.54545454545454541</v>
      </c>
      <c r="K248">
        <f t="shared" si="7"/>
        <v>65468.36</v>
      </c>
      <c r="L248" t="str">
        <f>VLOOKUP($B248,dim_stores!$A$1:$C$51,2,0)</f>
        <v>Madurai</v>
      </c>
    </row>
    <row r="249" spans="1:12" x14ac:dyDescent="0.3">
      <c r="A249" s="1">
        <v>957000000000</v>
      </c>
      <c r="B249" t="s">
        <v>103</v>
      </c>
      <c r="C249" t="s">
        <v>10</v>
      </c>
      <c r="D249" t="s">
        <v>24</v>
      </c>
      <c r="E249">
        <v>3000</v>
      </c>
      <c r="F249" t="s">
        <v>25</v>
      </c>
      <c r="G249">
        <v>103</v>
      </c>
      <c r="H249">
        <v>177</v>
      </c>
      <c r="I249" t="str">
        <f>_xlfn.XLOOKUP($C249,dim_campaigns!$D$2:$D$3,dim_campaigns!$A$2:$A$3,"",0)</f>
        <v>Sankranti</v>
      </c>
      <c r="J249" s="6">
        <f t="shared" si="6"/>
        <v>0.71844660194174759</v>
      </c>
      <c r="K249">
        <f t="shared" si="7"/>
        <v>751500</v>
      </c>
      <c r="L249" t="str">
        <f>VLOOKUP($B249,dim_stores!$A$1:$C$51,2,0)</f>
        <v>Hyderabad</v>
      </c>
    </row>
    <row r="250" spans="1:12" x14ac:dyDescent="0.3">
      <c r="A250" t="s">
        <v>308</v>
      </c>
      <c r="B250" t="s">
        <v>193</v>
      </c>
      <c r="C250" t="s">
        <v>15</v>
      </c>
      <c r="D250" t="s">
        <v>85</v>
      </c>
      <c r="E250">
        <v>110</v>
      </c>
      <c r="F250" t="s">
        <v>12</v>
      </c>
      <c r="G250">
        <v>103</v>
      </c>
      <c r="H250">
        <v>136</v>
      </c>
      <c r="I250" t="str">
        <f>_xlfn.XLOOKUP($C250,dim_campaigns!$D$2:$D$3,dim_campaigns!$A$2:$A$3,"",0)</f>
        <v>Diwali</v>
      </c>
      <c r="J250" s="6">
        <f t="shared" si="6"/>
        <v>0.32038834951456313</v>
      </c>
      <c r="K250">
        <f t="shared" si="7"/>
        <v>18810</v>
      </c>
      <c r="L250" t="str">
        <f>VLOOKUP($B250,dim_stores!$A$1:$C$51,2,0)</f>
        <v>Bengaluru</v>
      </c>
    </row>
    <row r="251" spans="1:12" x14ac:dyDescent="0.3">
      <c r="A251" t="s">
        <v>309</v>
      </c>
      <c r="B251" t="s">
        <v>47</v>
      </c>
      <c r="C251" t="s">
        <v>15</v>
      </c>
      <c r="D251" t="s">
        <v>20</v>
      </c>
      <c r="E251">
        <v>300</v>
      </c>
      <c r="F251" t="s">
        <v>21</v>
      </c>
      <c r="G251">
        <v>59</v>
      </c>
      <c r="H251">
        <v>201</v>
      </c>
      <c r="I251" t="str">
        <f>_xlfn.XLOOKUP($C251,dim_campaigns!$D$2:$D$3,dim_campaigns!$A$2:$A$3,"",0)</f>
        <v>Diwali</v>
      </c>
      <c r="J251" s="6">
        <f t="shared" si="6"/>
        <v>2.406779661016949</v>
      </c>
      <c r="K251">
        <f t="shared" si="7"/>
        <v>47850</v>
      </c>
      <c r="L251" t="str">
        <f>VLOOKUP($B251,dim_stores!$A$1:$C$51,2,0)</f>
        <v>Chennai</v>
      </c>
    </row>
    <row r="252" spans="1:12" x14ac:dyDescent="0.3">
      <c r="A252" t="s">
        <v>310</v>
      </c>
      <c r="B252" t="s">
        <v>58</v>
      </c>
      <c r="C252" t="s">
        <v>10</v>
      </c>
      <c r="D252" t="s">
        <v>32</v>
      </c>
      <c r="E252">
        <v>50</v>
      </c>
      <c r="F252" t="s">
        <v>17</v>
      </c>
      <c r="G252">
        <v>37</v>
      </c>
      <c r="H252">
        <v>31</v>
      </c>
      <c r="I252" t="str">
        <f>_xlfn.XLOOKUP($C252,dim_campaigns!$D$2:$D$3,dim_campaigns!$A$2:$A$3,"",0)</f>
        <v>Sankranti</v>
      </c>
      <c r="J252" s="6">
        <f t="shared" si="6"/>
        <v>-0.16216216216216217</v>
      </c>
      <c r="K252">
        <f t="shared" si="7"/>
        <v>3012.5</v>
      </c>
      <c r="L252" t="str">
        <f>VLOOKUP($B252,dim_stores!$A$1:$C$51,2,0)</f>
        <v>Chennai</v>
      </c>
    </row>
    <row r="253" spans="1:12" x14ac:dyDescent="0.3">
      <c r="A253" t="s">
        <v>311</v>
      </c>
      <c r="B253" t="s">
        <v>110</v>
      </c>
      <c r="C253" t="s">
        <v>15</v>
      </c>
      <c r="D253" t="s">
        <v>11</v>
      </c>
      <c r="E253">
        <v>190</v>
      </c>
      <c r="F253" t="s">
        <v>12</v>
      </c>
      <c r="G253">
        <v>80</v>
      </c>
      <c r="H253">
        <v>102</v>
      </c>
      <c r="I253" t="str">
        <f>_xlfn.XLOOKUP($C253,dim_campaigns!$D$2:$D$3,dim_campaigns!$A$2:$A$3,"",0)</f>
        <v>Diwali</v>
      </c>
      <c r="J253" s="6">
        <f t="shared" si="6"/>
        <v>0.27500000000000002</v>
      </c>
      <c r="K253">
        <f t="shared" si="7"/>
        <v>24890</v>
      </c>
      <c r="L253" t="str">
        <f>VLOOKUP($B253,dim_stores!$A$1:$C$51,2,0)</f>
        <v>Chennai</v>
      </c>
    </row>
    <row r="254" spans="1:12" x14ac:dyDescent="0.3">
      <c r="A254" t="s">
        <v>312</v>
      </c>
      <c r="B254" t="s">
        <v>37</v>
      </c>
      <c r="C254" t="s">
        <v>15</v>
      </c>
      <c r="D254" t="s">
        <v>53</v>
      </c>
      <c r="E254">
        <v>860</v>
      </c>
      <c r="F254" t="s">
        <v>54</v>
      </c>
      <c r="G254">
        <v>255</v>
      </c>
      <c r="H254">
        <v>377</v>
      </c>
      <c r="I254" t="str">
        <f>_xlfn.XLOOKUP($C254,dim_campaigns!$D$2:$D$3,dim_campaigns!$A$2:$A$3,"",0)</f>
        <v>Diwali</v>
      </c>
      <c r="J254" s="6">
        <f t="shared" si="6"/>
        <v>0.47843137254901963</v>
      </c>
      <c r="K254">
        <f t="shared" si="7"/>
        <v>436527.4</v>
      </c>
      <c r="L254" t="str">
        <f>VLOOKUP($B254,dim_stores!$A$1:$C$51,2,0)</f>
        <v>Coimbatore</v>
      </c>
    </row>
    <row r="255" spans="1:12" x14ac:dyDescent="0.3">
      <c r="A255">
        <v>567271</v>
      </c>
      <c r="B255" t="s">
        <v>81</v>
      </c>
      <c r="C255" t="s">
        <v>15</v>
      </c>
      <c r="D255" t="s">
        <v>32</v>
      </c>
      <c r="E255">
        <v>65</v>
      </c>
      <c r="F255" t="s">
        <v>12</v>
      </c>
      <c r="G255">
        <v>78</v>
      </c>
      <c r="H255">
        <v>102</v>
      </c>
      <c r="I255" t="str">
        <f>_xlfn.XLOOKUP($C255,dim_campaigns!$D$2:$D$3,dim_campaigns!$A$2:$A$3,"",0)</f>
        <v>Diwali</v>
      </c>
      <c r="J255" s="6">
        <f t="shared" si="6"/>
        <v>0.30769230769230771</v>
      </c>
      <c r="K255">
        <f t="shared" si="7"/>
        <v>8385</v>
      </c>
      <c r="L255" t="str">
        <f>VLOOKUP($B255,dim_stores!$A$1:$C$51,2,0)</f>
        <v>Madurai</v>
      </c>
    </row>
    <row r="256" spans="1:12" x14ac:dyDescent="0.3">
      <c r="A256" t="s">
        <v>313</v>
      </c>
      <c r="B256" t="s">
        <v>95</v>
      </c>
      <c r="C256" t="s">
        <v>15</v>
      </c>
      <c r="D256" t="s">
        <v>43</v>
      </c>
      <c r="E256">
        <v>415</v>
      </c>
      <c r="F256" t="s">
        <v>17</v>
      </c>
      <c r="G256">
        <v>96</v>
      </c>
      <c r="H256">
        <v>77</v>
      </c>
      <c r="I256" t="str">
        <f>_xlfn.XLOOKUP($C256,dim_campaigns!$D$2:$D$3,dim_campaigns!$A$2:$A$3,"",0)</f>
        <v>Diwali</v>
      </c>
      <c r="J256" s="6">
        <f t="shared" si="6"/>
        <v>-0.19791666666666666</v>
      </c>
      <c r="K256">
        <f t="shared" si="7"/>
        <v>63806.25</v>
      </c>
      <c r="L256" t="str">
        <f>VLOOKUP($B256,dim_stores!$A$1:$C$51,2,0)</f>
        <v>Hyderabad</v>
      </c>
    </row>
    <row r="257" spans="1:12" x14ac:dyDescent="0.3">
      <c r="A257" t="s">
        <v>314</v>
      </c>
      <c r="B257" t="s">
        <v>115</v>
      </c>
      <c r="C257" t="s">
        <v>15</v>
      </c>
      <c r="D257" t="s">
        <v>32</v>
      </c>
      <c r="E257">
        <v>65</v>
      </c>
      <c r="F257" t="s">
        <v>12</v>
      </c>
      <c r="G257">
        <v>92</v>
      </c>
      <c r="H257">
        <v>125</v>
      </c>
      <c r="I257" t="str">
        <f>_xlfn.XLOOKUP($C257,dim_campaigns!$D$2:$D$3,dim_campaigns!$A$2:$A$3,"",0)</f>
        <v>Diwali</v>
      </c>
      <c r="J257" s="6">
        <f t="shared" si="6"/>
        <v>0.35869565217391303</v>
      </c>
      <c r="K257">
        <f t="shared" si="7"/>
        <v>10042.5</v>
      </c>
      <c r="L257" t="str">
        <f>VLOOKUP($B257,dim_stores!$A$1:$C$51,2,0)</f>
        <v>Bengaluru</v>
      </c>
    </row>
    <row r="258" spans="1:12" x14ac:dyDescent="0.3">
      <c r="A258" t="s">
        <v>315</v>
      </c>
      <c r="B258" t="s">
        <v>212</v>
      </c>
      <c r="C258" t="s">
        <v>15</v>
      </c>
      <c r="D258" t="s">
        <v>48</v>
      </c>
      <c r="E258">
        <v>62</v>
      </c>
      <c r="F258" t="s">
        <v>12</v>
      </c>
      <c r="G258">
        <v>124</v>
      </c>
      <c r="H258">
        <v>184</v>
      </c>
      <c r="I258" t="str">
        <f>_xlfn.XLOOKUP($C258,dim_campaigns!$D$2:$D$3,dim_campaigns!$A$2:$A$3,"",0)</f>
        <v>Diwali</v>
      </c>
      <c r="J258" s="6">
        <f t="shared" si="6"/>
        <v>0.4838709677419355</v>
      </c>
      <c r="K258">
        <f t="shared" si="7"/>
        <v>13392</v>
      </c>
      <c r="L258" t="str">
        <f>VLOOKUP($B258,dim_stores!$A$1:$C$51,2,0)</f>
        <v>Bengaluru</v>
      </c>
    </row>
    <row r="259" spans="1:12" x14ac:dyDescent="0.3">
      <c r="A259" t="s">
        <v>316</v>
      </c>
      <c r="B259" t="s">
        <v>115</v>
      </c>
      <c r="C259" t="s">
        <v>15</v>
      </c>
      <c r="D259" t="s">
        <v>61</v>
      </c>
      <c r="E259">
        <v>172</v>
      </c>
      <c r="F259" t="s">
        <v>54</v>
      </c>
      <c r="G259">
        <v>329</v>
      </c>
      <c r="H259">
        <v>467</v>
      </c>
      <c r="I259" t="str">
        <f>_xlfn.XLOOKUP($C259,dim_campaigns!$D$2:$D$3,dim_campaigns!$A$2:$A$3,"",0)</f>
        <v>Diwali</v>
      </c>
      <c r="J259" s="6">
        <f t="shared" ref="J259:J322" si="8">IFERROR((H259-G259)/G259,0)</f>
        <v>0.41945288753799392</v>
      </c>
      <c r="K259">
        <f t="shared" ref="K259:K322" si="9">E259*G259+(E259-IF(F259="500 Cashback",500,IF(F259="BOGOF",E259*50%,IF(F259="25% OFF",E259*25%,IF(F259="33% OFF",E259*33%,IF(F259="50% OFF",E259*50%,0))))))*H259</f>
        <v>110405.07999999999</v>
      </c>
      <c r="L259" t="str">
        <f>VLOOKUP($B259,dim_stores!$A$1:$C$51,2,0)</f>
        <v>Bengaluru</v>
      </c>
    </row>
    <row r="260" spans="1:12" x14ac:dyDescent="0.3">
      <c r="A260" t="s">
        <v>317</v>
      </c>
      <c r="B260" t="s">
        <v>91</v>
      </c>
      <c r="C260" t="s">
        <v>15</v>
      </c>
      <c r="D260" t="s">
        <v>32</v>
      </c>
      <c r="E260">
        <v>65</v>
      </c>
      <c r="F260" t="s">
        <v>12</v>
      </c>
      <c r="G260">
        <v>131</v>
      </c>
      <c r="H260">
        <v>203</v>
      </c>
      <c r="I260" t="str">
        <f>_xlfn.XLOOKUP($C260,dim_campaigns!$D$2:$D$3,dim_campaigns!$A$2:$A$3,"",0)</f>
        <v>Diwali</v>
      </c>
      <c r="J260" s="6">
        <f t="shared" si="8"/>
        <v>0.54961832061068705</v>
      </c>
      <c r="K260">
        <f t="shared" si="9"/>
        <v>15112.5</v>
      </c>
      <c r="L260" t="str">
        <f>VLOOKUP($B260,dim_stores!$A$1:$C$51,2,0)</f>
        <v>Hyderabad</v>
      </c>
    </row>
    <row r="261" spans="1:12" x14ac:dyDescent="0.3">
      <c r="A261" s="1">
        <v>624000000000</v>
      </c>
      <c r="B261" t="s">
        <v>126</v>
      </c>
      <c r="C261" t="s">
        <v>10</v>
      </c>
      <c r="D261" t="s">
        <v>16</v>
      </c>
      <c r="E261">
        <v>200</v>
      </c>
      <c r="F261" t="s">
        <v>21</v>
      </c>
      <c r="G261">
        <v>206</v>
      </c>
      <c r="H261">
        <v>541</v>
      </c>
      <c r="I261" t="str">
        <f>_xlfn.XLOOKUP($C261,dim_campaigns!$D$2:$D$3,dim_campaigns!$A$2:$A$3,"",0)</f>
        <v>Sankranti</v>
      </c>
      <c r="J261" s="6">
        <f t="shared" si="8"/>
        <v>1.6262135922330097</v>
      </c>
      <c r="K261">
        <f t="shared" si="9"/>
        <v>95300</v>
      </c>
      <c r="L261" t="str">
        <f>VLOOKUP($B261,dim_stores!$A$1:$C$51,2,0)</f>
        <v>Mangalore</v>
      </c>
    </row>
    <row r="262" spans="1:12" x14ac:dyDescent="0.3">
      <c r="A262" t="s">
        <v>318</v>
      </c>
      <c r="B262" t="s">
        <v>113</v>
      </c>
      <c r="C262" t="s">
        <v>10</v>
      </c>
      <c r="D262" t="s">
        <v>38</v>
      </c>
      <c r="E262">
        <v>1190</v>
      </c>
      <c r="F262" t="s">
        <v>21</v>
      </c>
      <c r="G262">
        <v>43</v>
      </c>
      <c r="H262">
        <v>109</v>
      </c>
      <c r="I262" t="str">
        <f>_xlfn.XLOOKUP($C262,dim_campaigns!$D$2:$D$3,dim_campaigns!$A$2:$A$3,"",0)</f>
        <v>Sankranti</v>
      </c>
      <c r="J262" s="6">
        <f t="shared" si="8"/>
        <v>1.5348837209302326</v>
      </c>
      <c r="K262">
        <f t="shared" si="9"/>
        <v>116025</v>
      </c>
      <c r="L262" t="str">
        <f>VLOOKUP($B262,dim_stores!$A$1:$C$51,2,0)</f>
        <v>Chennai</v>
      </c>
    </row>
    <row r="263" spans="1:12" x14ac:dyDescent="0.3">
      <c r="A263" t="s">
        <v>319</v>
      </c>
      <c r="B263" t="s">
        <v>161</v>
      </c>
      <c r="C263" t="s">
        <v>10</v>
      </c>
      <c r="D263" t="s">
        <v>43</v>
      </c>
      <c r="E263">
        <v>415</v>
      </c>
      <c r="F263" t="s">
        <v>17</v>
      </c>
      <c r="G263">
        <v>31</v>
      </c>
      <c r="H263">
        <v>28</v>
      </c>
      <c r="I263" t="str">
        <f>_xlfn.XLOOKUP($C263,dim_campaigns!$D$2:$D$3,dim_campaigns!$A$2:$A$3,"",0)</f>
        <v>Sankranti</v>
      </c>
      <c r="J263" s="6">
        <f t="shared" si="8"/>
        <v>-9.6774193548387094E-2</v>
      </c>
      <c r="K263">
        <f t="shared" si="9"/>
        <v>21580</v>
      </c>
      <c r="L263" t="str">
        <f>VLOOKUP($B263,dim_stores!$A$1:$C$51,2,0)</f>
        <v>Chennai</v>
      </c>
    </row>
    <row r="264" spans="1:12" x14ac:dyDescent="0.3">
      <c r="A264" t="s">
        <v>320</v>
      </c>
      <c r="B264" t="s">
        <v>67</v>
      </c>
      <c r="C264" t="s">
        <v>10</v>
      </c>
      <c r="D264" t="s">
        <v>32</v>
      </c>
      <c r="E264">
        <v>50</v>
      </c>
      <c r="F264" t="s">
        <v>17</v>
      </c>
      <c r="G264">
        <v>31</v>
      </c>
      <c r="H264">
        <v>25</v>
      </c>
      <c r="I264" t="str">
        <f>_xlfn.XLOOKUP($C264,dim_campaigns!$D$2:$D$3,dim_campaigns!$A$2:$A$3,"",0)</f>
        <v>Sankranti</v>
      </c>
      <c r="J264" s="6">
        <f t="shared" si="8"/>
        <v>-0.19354838709677419</v>
      </c>
      <c r="K264">
        <f t="shared" si="9"/>
        <v>2487.5</v>
      </c>
      <c r="L264" t="str">
        <f>VLOOKUP($B264,dim_stores!$A$1:$C$51,2,0)</f>
        <v>Bengaluru</v>
      </c>
    </row>
    <row r="265" spans="1:12" x14ac:dyDescent="0.3">
      <c r="A265" t="s">
        <v>321</v>
      </c>
      <c r="B265" t="s">
        <v>40</v>
      </c>
      <c r="C265" t="s">
        <v>15</v>
      </c>
      <c r="D265" t="s">
        <v>11</v>
      </c>
      <c r="E265">
        <v>190</v>
      </c>
      <c r="F265" t="s">
        <v>12</v>
      </c>
      <c r="G265">
        <v>66</v>
      </c>
      <c r="H265">
        <v>77</v>
      </c>
      <c r="I265" t="str">
        <f>_xlfn.XLOOKUP($C265,dim_campaigns!$D$2:$D$3,dim_campaigns!$A$2:$A$3,"",0)</f>
        <v>Diwali</v>
      </c>
      <c r="J265" s="6">
        <f t="shared" si="8"/>
        <v>0.16666666666666666</v>
      </c>
      <c r="K265">
        <f t="shared" si="9"/>
        <v>19855</v>
      </c>
      <c r="L265" t="str">
        <f>VLOOKUP($B265,dim_stores!$A$1:$C$51,2,0)</f>
        <v>Madurai</v>
      </c>
    </row>
    <row r="266" spans="1:12" x14ac:dyDescent="0.3">
      <c r="A266" t="s">
        <v>322</v>
      </c>
      <c r="B266" t="s">
        <v>34</v>
      </c>
      <c r="C266" t="s">
        <v>15</v>
      </c>
      <c r="D266" t="s">
        <v>53</v>
      </c>
      <c r="E266">
        <v>860</v>
      </c>
      <c r="F266" t="s">
        <v>54</v>
      </c>
      <c r="G266">
        <v>362</v>
      </c>
      <c r="H266">
        <v>521</v>
      </c>
      <c r="I266" t="str">
        <f>_xlfn.XLOOKUP($C266,dim_campaigns!$D$2:$D$3,dim_campaigns!$A$2:$A$3,"",0)</f>
        <v>Diwali</v>
      </c>
      <c r="J266" s="6">
        <f t="shared" si="8"/>
        <v>0.43922651933701656</v>
      </c>
      <c r="K266">
        <f t="shared" si="9"/>
        <v>611520.19999999995</v>
      </c>
      <c r="L266" t="str">
        <f>VLOOKUP($B266,dim_stores!$A$1:$C$51,2,0)</f>
        <v>Hyderabad</v>
      </c>
    </row>
    <row r="267" spans="1:12" x14ac:dyDescent="0.3">
      <c r="A267" t="s">
        <v>323</v>
      </c>
      <c r="B267" t="s">
        <v>58</v>
      </c>
      <c r="C267" t="s">
        <v>15</v>
      </c>
      <c r="D267" t="s">
        <v>20</v>
      </c>
      <c r="E267">
        <v>300</v>
      </c>
      <c r="F267" t="s">
        <v>21</v>
      </c>
      <c r="G267">
        <v>59</v>
      </c>
      <c r="H267">
        <v>206</v>
      </c>
      <c r="I267" t="str">
        <f>_xlfn.XLOOKUP($C267,dim_campaigns!$D$2:$D$3,dim_campaigns!$A$2:$A$3,"",0)</f>
        <v>Diwali</v>
      </c>
      <c r="J267" s="6">
        <f t="shared" si="8"/>
        <v>2.4915254237288136</v>
      </c>
      <c r="K267">
        <f t="shared" si="9"/>
        <v>48600</v>
      </c>
      <c r="L267" t="str">
        <f>VLOOKUP($B267,dim_stores!$A$1:$C$51,2,0)</f>
        <v>Chennai</v>
      </c>
    </row>
    <row r="268" spans="1:12" x14ac:dyDescent="0.3">
      <c r="A268" t="s">
        <v>324</v>
      </c>
      <c r="B268" t="s">
        <v>67</v>
      </c>
      <c r="C268" t="s">
        <v>15</v>
      </c>
      <c r="D268" t="s">
        <v>16</v>
      </c>
      <c r="E268">
        <v>156</v>
      </c>
      <c r="F268" t="s">
        <v>17</v>
      </c>
      <c r="G268">
        <v>358</v>
      </c>
      <c r="H268">
        <v>315</v>
      </c>
      <c r="I268" t="str">
        <f>_xlfn.XLOOKUP($C268,dim_campaigns!$D$2:$D$3,dim_campaigns!$A$2:$A$3,"",0)</f>
        <v>Diwali</v>
      </c>
      <c r="J268" s="6">
        <f t="shared" si="8"/>
        <v>-0.12011173184357542</v>
      </c>
      <c r="K268">
        <f t="shared" si="9"/>
        <v>92703</v>
      </c>
      <c r="L268" t="str">
        <f>VLOOKUP($B268,dim_stores!$A$1:$C$51,2,0)</f>
        <v>Bengaluru</v>
      </c>
    </row>
    <row r="269" spans="1:12" x14ac:dyDescent="0.3">
      <c r="A269" t="s">
        <v>325</v>
      </c>
      <c r="B269" t="s">
        <v>161</v>
      </c>
      <c r="C269" t="s">
        <v>15</v>
      </c>
      <c r="D269" t="s">
        <v>16</v>
      </c>
      <c r="E269">
        <v>156</v>
      </c>
      <c r="F269" t="s">
        <v>17</v>
      </c>
      <c r="G269">
        <v>330</v>
      </c>
      <c r="H269">
        <v>323</v>
      </c>
      <c r="I269" t="str">
        <f>_xlfn.XLOOKUP($C269,dim_campaigns!$D$2:$D$3,dim_campaigns!$A$2:$A$3,"",0)</f>
        <v>Diwali</v>
      </c>
      <c r="J269" s="6">
        <f t="shared" si="8"/>
        <v>-2.1212121212121213E-2</v>
      </c>
      <c r="K269">
        <f t="shared" si="9"/>
        <v>89271</v>
      </c>
      <c r="L269" t="str">
        <f>VLOOKUP($B269,dim_stores!$A$1:$C$51,2,0)</f>
        <v>Chennai</v>
      </c>
    </row>
    <row r="270" spans="1:12" x14ac:dyDescent="0.3">
      <c r="A270" t="s">
        <v>326</v>
      </c>
      <c r="B270" t="s">
        <v>107</v>
      </c>
      <c r="C270" t="s">
        <v>15</v>
      </c>
      <c r="D270" t="s">
        <v>61</v>
      </c>
      <c r="E270">
        <v>172</v>
      </c>
      <c r="F270" t="s">
        <v>54</v>
      </c>
      <c r="G270">
        <v>255</v>
      </c>
      <c r="H270">
        <v>425</v>
      </c>
      <c r="I270" t="str">
        <f>_xlfn.XLOOKUP($C270,dim_campaigns!$D$2:$D$3,dim_campaigns!$A$2:$A$3,"",0)</f>
        <v>Diwali</v>
      </c>
      <c r="J270" s="6">
        <f t="shared" si="8"/>
        <v>0.66666666666666663</v>
      </c>
      <c r="K270">
        <f t="shared" si="9"/>
        <v>92837</v>
      </c>
      <c r="L270" t="str">
        <f>VLOOKUP($B270,dim_stores!$A$1:$C$51,2,0)</f>
        <v>Coimbatore</v>
      </c>
    </row>
    <row r="271" spans="1:12" x14ac:dyDescent="0.3">
      <c r="A271" t="s">
        <v>327</v>
      </c>
      <c r="B271" t="s">
        <v>9</v>
      </c>
      <c r="C271" t="s">
        <v>10</v>
      </c>
      <c r="D271" t="s">
        <v>68</v>
      </c>
      <c r="E271">
        <v>1020</v>
      </c>
      <c r="F271" t="s">
        <v>21</v>
      </c>
      <c r="G271">
        <v>78</v>
      </c>
      <c r="H271">
        <v>334</v>
      </c>
      <c r="I271" t="str">
        <f>_xlfn.XLOOKUP($C271,dim_campaigns!$D$2:$D$3,dim_campaigns!$A$2:$A$3,"",0)</f>
        <v>Sankranti</v>
      </c>
      <c r="J271" s="6">
        <f t="shared" si="8"/>
        <v>3.2820512820512819</v>
      </c>
      <c r="K271">
        <f t="shared" si="9"/>
        <v>249900</v>
      </c>
      <c r="L271" t="str">
        <f>VLOOKUP($B271,dim_stores!$A$1:$C$51,2,0)</f>
        <v>Coimbatore</v>
      </c>
    </row>
    <row r="272" spans="1:12" x14ac:dyDescent="0.3">
      <c r="A272" t="s">
        <v>328</v>
      </c>
      <c r="B272" t="s">
        <v>137</v>
      </c>
      <c r="C272" t="s">
        <v>15</v>
      </c>
      <c r="D272" t="s">
        <v>53</v>
      </c>
      <c r="E272">
        <v>860</v>
      </c>
      <c r="F272" t="s">
        <v>54</v>
      </c>
      <c r="G272">
        <v>210</v>
      </c>
      <c r="H272">
        <v>268</v>
      </c>
      <c r="I272" t="str">
        <f>_xlfn.XLOOKUP($C272,dim_campaigns!$D$2:$D$3,dim_campaigns!$A$2:$A$3,"",0)</f>
        <v>Diwali</v>
      </c>
      <c r="J272" s="6">
        <f t="shared" si="8"/>
        <v>0.27619047619047621</v>
      </c>
      <c r="K272">
        <f t="shared" si="9"/>
        <v>335021.59999999998</v>
      </c>
      <c r="L272" t="str">
        <f>VLOOKUP($B272,dim_stores!$A$1:$C$51,2,0)</f>
        <v>Mangalore</v>
      </c>
    </row>
    <row r="273" spans="1:12" x14ac:dyDescent="0.3">
      <c r="A273" t="s">
        <v>329</v>
      </c>
      <c r="B273" t="s">
        <v>89</v>
      </c>
      <c r="C273" t="s">
        <v>15</v>
      </c>
      <c r="D273" t="s">
        <v>28</v>
      </c>
      <c r="E273">
        <v>55</v>
      </c>
      <c r="F273" t="s">
        <v>17</v>
      </c>
      <c r="G273">
        <v>59</v>
      </c>
      <c r="H273">
        <v>48</v>
      </c>
      <c r="I273" t="str">
        <f>_xlfn.XLOOKUP($C273,dim_campaigns!$D$2:$D$3,dim_campaigns!$A$2:$A$3,"",0)</f>
        <v>Diwali</v>
      </c>
      <c r="J273" s="6">
        <f t="shared" si="8"/>
        <v>-0.1864406779661017</v>
      </c>
      <c r="K273">
        <f t="shared" si="9"/>
        <v>5225</v>
      </c>
      <c r="L273" t="str">
        <f>VLOOKUP($B273,dim_stores!$A$1:$C$51,2,0)</f>
        <v>Vijayawada</v>
      </c>
    </row>
    <row r="274" spans="1:12" x14ac:dyDescent="0.3">
      <c r="A274" t="s">
        <v>330</v>
      </c>
      <c r="B274" t="s">
        <v>42</v>
      </c>
      <c r="C274" t="s">
        <v>15</v>
      </c>
      <c r="D274" t="s">
        <v>28</v>
      </c>
      <c r="E274">
        <v>55</v>
      </c>
      <c r="F274" t="s">
        <v>17</v>
      </c>
      <c r="G274">
        <v>99</v>
      </c>
      <c r="H274">
        <v>88</v>
      </c>
      <c r="I274" t="str">
        <f>_xlfn.XLOOKUP($C274,dim_campaigns!$D$2:$D$3,dim_campaigns!$A$2:$A$3,"",0)</f>
        <v>Diwali</v>
      </c>
      <c r="J274" s="6">
        <f t="shared" si="8"/>
        <v>-0.1111111111111111</v>
      </c>
      <c r="K274">
        <f t="shared" si="9"/>
        <v>9075</v>
      </c>
      <c r="L274" t="str">
        <f>VLOOKUP($B274,dim_stores!$A$1:$C$51,2,0)</f>
        <v>Mysuru</v>
      </c>
    </row>
    <row r="275" spans="1:12" x14ac:dyDescent="0.3">
      <c r="A275" t="s">
        <v>331</v>
      </c>
      <c r="B275" t="s">
        <v>67</v>
      </c>
      <c r="C275" t="s">
        <v>10</v>
      </c>
      <c r="D275" t="s">
        <v>28</v>
      </c>
      <c r="E275">
        <v>55</v>
      </c>
      <c r="F275" t="s">
        <v>17</v>
      </c>
      <c r="G275">
        <v>28</v>
      </c>
      <c r="H275">
        <v>22</v>
      </c>
      <c r="I275" t="str">
        <f>_xlfn.XLOOKUP($C275,dim_campaigns!$D$2:$D$3,dim_campaigns!$A$2:$A$3,"",0)</f>
        <v>Sankranti</v>
      </c>
      <c r="J275" s="6">
        <f t="shared" si="8"/>
        <v>-0.21428571428571427</v>
      </c>
      <c r="K275">
        <f t="shared" si="9"/>
        <v>2447.5</v>
      </c>
      <c r="L275" t="str">
        <f>VLOOKUP($B275,dim_stores!$A$1:$C$51,2,0)</f>
        <v>Bengaluru</v>
      </c>
    </row>
    <row r="276" spans="1:12" x14ac:dyDescent="0.3">
      <c r="A276" t="s">
        <v>332</v>
      </c>
      <c r="B276" t="s">
        <v>29</v>
      </c>
      <c r="C276" t="s">
        <v>15</v>
      </c>
      <c r="D276" t="s">
        <v>38</v>
      </c>
      <c r="E276">
        <v>1190</v>
      </c>
      <c r="F276" t="s">
        <v>21</v>
      </c>
      <c r="G276">
        <v>49</v>
      </c>
      <c r="H276">
        <v>163</v>
      </c>
      <c r="I276" t="str">
        <f>_xlfn.XLOOKUP($C276,dim_campaigns!$D$2:$D$3,dim_campaigns!$A$2:$A$3,"",0)</f>
        <v>Diwali</v>
      </c>
      <c r="J276" s="6">
        <f t="shared" si="8"/>
        <v>2.3265306122448979</v>
      </c>
      <c r="K276">
        <f t="shared" si="9"/>
        <v>155295</v>
      </c>
      <c r="L276" t="str">
        <f>VLOOKUP($B276,dim_stores!$A$1:$C$51,2,0)</f>
        <v>Bengaluru</v>
      </c>
    </row>
    <row r="277" spans="1:12" x14ac:dyDescent="0.3">
      <c r="A277" t="s">
        <v>333</v>
      </c>
      <c r="B277" t="s">
        <v>107</v>
      </c>
      <c r="C277" t="s">
        <v>15</v>
      </c>
      <c r="D277" t="s">
        <v>20</v>
      </c>
      <c r="E277">
        <v>300</v>
      </c>
      <c r="F277" t="s">
        <v>21</v>
      </c>
      <c r="G277">
        <v>36</v>
      </c>
      <c r="H277">
        <v>118</v>
      </c>
      <c r="I277" t="str">
        <f>_xlfn.XLOOKUP($C277,dim_campaigns!$D$2:$D$3,dim_campaigns!$A$2:$A$3,"",0)</f>
        <v>Diwali</v>
      </c>
      <c r="J277" s="6">
        <f t="shared" si="8"/>
        <v>2.2777777777777777</v>
      </c>
      <c r="K277">
        <f t="shared" si="9"/>
        <v>28500</v>
      </c>
      <c r="L277" t="str">
        <f>VLOOKUP($B277,dim_stores!$A$1:$C$51,2,0)</f>
        <v>Coimbatore</v>
      </c>
    </row>
    <row r="278" spans="1:12" x14ac:dyDescent="0.3">
      <c r="A278" t="s">
        <v>334</v>
      </c>
      <c r="B278" t="s">
        <v>56</v>
      </c>
      <c r="C278" t="s">
        <v>15</v>
      </c>
      <c r="D278" t="s">
        <v>20</v>
      </c>
      <c r="E278">
        <v>300</v>
      </c>
      <c r="F278" t="s">
        <v>21</v>
      </c>
      <c r="G278">
        <v>59</v>
      </c>
      <c r="H278">
        <v>196</v>
      </c>
      <c r="I278" t="str">
        <f>_xlfn.XLOOKUP($C278,dim_campaigns!$D$2:$D$3,dim_campaigns!$A$2:$A$3,"",0)</f>
        <v>Diwali</v>
      </c>
      <c r="J278" s="6">
        <f t="shared" si="8"/>
        <v>2.3220338983050848</v>
      </c>
      <c r="K278">
        <f t="shared" si="9"/>
        <v>47100</v>
      </c>
      <c r="L278" t="str">
        <f>VLOOKUP($B278,dim_stores!$A$1:$C$51,2,0)</f>
        <v>Chennai</v>
      </c>
    </row>
    <row r="279" spans="1:12" x14ac:dyDescent="0.3">
      <c r="A279" s="1">
        <v>588000000000</v>
      </c>
      <c r="B279" t="s">
        <v>91</v>
      </c>
      <c r="C279" t="s">
        <v>15</v>
      </c>
      <c r="D279" t="s">
        <v>48</v>
      </c>
      <c r="E279">
        <v>62</v>
      </c>
      <c r="F279" t="s">
        <v>12</v>
      </c>
      <c r="G279">
        <v>112</v>
      </c>
      <c r="H279">
        <v>178</v>
      </c>
      <c r="I279" t="str">
        <f>_xlfn.XLOOKUP($C279,dim_campaigns!$D$2:$D$3,dim_campaigns!$A$2:$A$3,"",0)</f>
        <v>Diwali</v>
      </c>
      <c r="J279" s="6">
        <f t="shared" si="8"/>
        <v>0.5892857142857143</v>
      </c>
      <c r="K279">
        <f t="shared" si="9"/>
        <v>12462</v>
      </c>
      <c r="L279" t="str">
        <f>VLOOKUP($B279,dim_stores!$A$1:$C$51,2,0)</f>
        <v>Hyderabad</v>
      </c>
    </row>
    <row r="280" spans="1:12" x14ac:dyDescent="0.3">
      <c r="A280" t="s">
        <v>335</v>
      </c>
      <c r="B280" t="s">
        <v>137</v>
      </c>
      <c r="C280" t="s">
        <v>10</v>
      </c>
      <c r="D280" t="s">
        <v>61</v>
      </c>
      <c r="E280">
        <v>172</v>
      </c>
      <c r="F280" t="s">
        <v>54</v>
      </c>
      <c r="G280">
        <v>183</v>
      </c>
      <c r="H280">
        <v>215</v>
      </c>
      <c r="I280" t="str">
        <f>_xlfn.XLOOKUP($C280,dim_campaigns!$D$2:$D$3,dim_campaigns!$A$2:$A$3,"",0)</f>
        <v>Sankranti</v>
      </c>
      <c r="J280" s="6">
        <f t="shared" si="8"/>
        <v>0.17486338797814208</v>
      </c>
      <c r="K280">
        <f t="shared" si="9"/>
        <v>56252.6</v>
      </c>
      <c r="L280" t="str">
        <f>VLOOKUP($B280,dim_stores!$A$1:$C$51,2,0)</f>
        <v>Mangalore</v>
      </c>
    </row>
    <row r="281" spans="1:12" x14ac:dyDescent="0.3">
      <c r="A281" t="s">
        <v>336</v>
      </c>
      <c r="B281" t="s">
        <v>9</v>
      </c>
      <c r="C281" t="s">
        <v>15</v>
      </c>
      <c r="D281" t="s">
        <v>43</v>
      </c>
      <c r="E281">
        <v>415</v>
      </c>
      <c r="F281" t="s">
        <v>17</v>
      </c>
      <c r="G281">
        <v>77</v>
      </c>
      <c r="H281">
        <v>68</v>
      </c>
      <c r="I281" t="str">
        <f>_xlfn.XLOOKUP($C281,dim_campaigns!$D$2:$D$3,dim_campaigns!$A$2:$A$3,"",0)</f>
        <v>Diwali</v>
      </c>
      <c r="J281" s="6">
        <f t="shared" si="8"/>
        <v>-0.11688311688311688</v>
      </c>
      <c r="K281">
        <f t="shared" si="9"/>
        <v>53120</v>
      </c>
      <c r="L281" t="str">
        <f>VLOOKUP($B281,dim_stores!$A$1:$C$51,2,0)</f>
        <v>Coimbatore</v>
      </c>
    </row>
    <row r="282" spans="1:12" x14ac:dyDescent="0.3">
      <c r="A282" t="s">
        <v>337</v>
      </c>
      <c r="B282" t="s">
        <v>126</v>
      </c>
      <c r="C282" t="s">
        <v>15</v>
      </c>
      <c r="D282" t="s">
        <v>61</v>
      </c>
      <c r="E282">
        <v>172</v>
      </c>
      <c r="F282" t="s">
        <v>54</v>
      </c>
      <c r="G282">
        <v>173</v>
      </c>
      <c r="H282">
        <v>250</v>
      </c>
      <c r="I282" t="str">
        <f>_xlfn.XLOOKUP($C282,dim_campaigns!$D$2:$D$3,dim_campaigns!$A$2:$A$3,"",0)</f>
        <v>Diwali</v>
      </c>
      <c r="J282" s="6">
        <f t="shared" si="8"/>
        <v>0.44508670520231214</v>
      </c>
      <c r="K282">
        <f t="shared" si="9"/>
        <v>58566</v>
      </c>
      <c r="L282" t="str">
        <f>VLOOKUP($B282,dim_stores!$A$1:$C$51,2,0)</f>
        <v>Mangalore</v>
      </c>
    </row>
    <row r="283" spans="1:12" x14ac:dyDescent="0.3">
      <c r="A283" t="s">
        <v>338</v>
      </c>
      <c r="B283" t="s">
        <v>63</v>
      </c>
      <c r="C283" t="s">
        <v>10</v>
      </c>
      <c r="D283" t="s">
        <v>38</v>
      </c>
      <c r="E283">
        <v>1190</v>
      </c>
      <c r="F283" t="s">
        <v>21</v>
      </c>
      <c r="G283">
        <v>33</v>
      </c>
      <c r="H283">
        <v>131</v>
      </c>
      <c r="I283" t="str">
        <f>_xlfn.XLOOKUP($C283,dim_campaigns!$D$2:$D$3,dim_campaigns!$A$2:$A$3,"",0)</f>
        <v>Sankranti</v>
      </c>
      <c r="J283" s="6">
        <f t="shared" si="8"/>
        <v>2.9696969696969697</v>
      </c>
      <c r="K283">
        <f t="shared" si="9"/>
        <v>117215</v>
      </c>
      <c r="L283" t="str">
        <f>VLOOKUP($B283,dim_stores!$A$1:$C$51,2,0)</f>
        <v>Visakhapatnam</v>
      </c>
    </row>
    <row r="284" spans="1:12" x14ac:dyDescent="0.3">
      <c r="A284" s="1" t="s">
        <v>339</v>
      </c>
      <c r="B284" t="s">
        <v>67</v>
      </c>
      <c r="C284" t="s">
        <v>15</v>
      </c>
      <c r="D284" t="s">
        <v>20</v>
      </c>
      <c r="E284">
        <v>300</v>
      </c>
      <c r="F284" t="s">
        <v>21</v>
      </c>
      <c r="G284">
        <v>64</v>
      </c>
      <c r="H284">
        <v>250</v>
      </c>
      <c r="I284" t="str">
        <f>_xlfn.XLOOKUP($C284,dim_campaigns!$D$2:$D$3,dim_campaigns!$A$2:$A$3,"",0)</f>
        <v>Diwali</v>
      </c>
      <c r="J284" s="6">
        <f t="shared" si="8"/>
        <v>2.90625</v>
      </c>
      <c r="K284">
        <f t="shared" si="9"/>
        <v>56700</v>
      </c>
      <c r="L284" t="str">
        <f>VLOOKUP($B284,dim_stores!$A$1:$C$51,2,0)</f>
        <v>Bengaluru</v>
      </c>
    </row>
    <row r="285" spans="1:12" x14ac:dyDescent="0.3">
      <c r="A285" t="s">
        <v>340</v>
      </c>
      <c r="B285" t="s">
        <v>58</v>
      </c>
      <c r="C285" t="s">
        <v>10</v>
      </c>
      <c r="D285" t="s">
        <v>35</v>
      </c>
      <c r="E285">
        <v>350</v>
      </c>
      <c r="F285" t="s">
        <v>21</v>
      </c>
      <c r="G285">
        <v>87</v>
      </c>
      <c r="H285">
        <v>341</v>
      </c>
      <c r="I285" t="str">
        <f>_xlfn.XLOOKUP($C285,dim_campaigns!$D$2:$D$3,dim_campaigns!$A$2:$A$3,"",0)</f>
        <v>Sankranti</v>
      </c>
      <c r="J285" s="6">
        <f t="shared" si="8"/>
        <v>2.9195402298850577</v>
      </c>
      <c r="K285">
        <f t="shared" si="9"/>
        <v>90125</v>
      </c>
      <c r="L285" t="str">
        <f>VLOOKUP($B285,dim_stores!$A$1:$C$51,2,0)</f>
        <v>Chennai</v>
      </c>
    </row>
    <row r="286" spans="1:12" x14ac:dyDescent="0.3">
      <c r="A286" t="s">
        <v>341</v>
      </c>
      <c r="B286" t="s">
        <v>84</v>
      </c>
      <c r="C286" t="s">
        <v>15</v>
      </c>
      <c r="D286" t="s">
        <v>11</v>
      </c>
      <c r="E286">
        <v>190</v>
      </c>
      <c r="F286" t="s">
        <v>12</v>
      </c>
      <c r="G286">
        <v>84</v>
      </c>
      <c r="H286">
        <v>121</v>
      </c>
      <c r="I286" t="str">
        <f>_xlfn.XLOOKUP($C286,dim_campaigns!$D$2:$D$3,dim_campaigns!$A$2:$A$3,"",0)</f>
        <v>Diwali</v>
      </c>
      <c r="J286" s="6">
        <f t="shared" si="8"/>
        <v>0.44047619047619047</v>
      </c>
      <c r="K286">
        <f t="shared" si="9"/>
        <v>27455</v>
      </c>
      <c r="L286" t="str">
        <f>VLOOKUP($B286,dim_stores!$A$1:$C$51,2,0)</f>
        <v>Mysuru</v>
      </c>
    </row>
    <row r="287" spans="1:12" x14ac:dyDescent="0.3">
      <c r="A287" t="s">
        <v>342</v>
      </c>
      <c r="B287" t="s">
        <v>9</v>
      </c>
      <c r="C287" t="s">
        <v>10</v>
      </c>
      <c r="D287" t="s">
        <v>48</v>
      </c>
      <c r="E287">
        <v>62</v>
      </c>
      <c r="F287" t="s">
        <v>12</v>
      </c>
      <c r="G287">
        <v>33</v>
      </c>
      <c r="H287">
        <v>51</v>
      </c>
      <c r="I287" t="str">
        <f>_xlfn.XLOOKUP($C287,dim_campaigns!$D$2:$D$3,dim_campaigns!$A$2:$A$3,"",0)</f>
        <v>Sankranti</v>
      </c>
      <c r="J287" s="6">
        <f t="shared" si="8"/>
        <v>0.54545454545454541</v>
      </c>
      <c r="K287">
        <f t="shared" si="9"/>
        <v>3627</v>
      </c>
      <c r="L287" t="str">
        <f>VLOOKUP($B287,dim_stores!$A$1:$C$51,2,0)</f>
        <v>Coimbatore</v>
      </c>
    </row>
    <row r="288" spans="1:12" x14ac:dyDescent="0.3">
      <c r="A288" t="s">
        <v>343</v>
      </c>
      <c r="B288" t="s">
        <v>78</v>
      </c>
      <c r="C288" t="s">
        <v>10</v>
      </c>
      <c r="D288" t="s">
        <v>43</v>
      </c>
      <c r="E288">
        <v>415</v>
      </c>
      <c r="F288" t="s">
        <v>17</v>
      </c>
      <c r="G288">
        <v>27</v>
      </c>
      <c r="H288">
        <v>22</v>
      </c>
      <c r="I288" t="str">
        <f>_xlfn.XLOOKUP($C288,dim_campaigns!$D$2:$D$3,dim_campaigns!$A$2:$A$3,"",0)</f>
        <v>Sankranti</v>
      </c>
      <c r="J288" s="6">
        <f t="shared" si="8"/>
        <v>-0.18518518518518517</v>
      </c>
      <c r="K288">
        <f t="shared" si="9"/>
        <v>18052.5</v>
      </c>
      <c r="L288" t="str">
        <f>VLOOKUP($B288,dim_stores!$A$1:$C$51,2,0)</f>
        <v>Mysuru</v>
      </c>
    </row>
    <row r="289" spans="1:12" x14ac:dyDescent="0.3">
      <c r="A289" t="s">
        <v>344</v>
      </c>
      <c r="B289" t="s">
        <v>119</v>
      </c>
      <c r="C289" t="s">
        <v>15</v>
      </c>
      <c r="D289" t="s">
        <v>11</v>
      </c>
      <c r="E289">
        <v>190</v>
      </c>
      <c r="F289" t="s">
        <v>12</v>
      </c>
      <c r="G289">
        <v>96</v>
      </c>
      <c r="H289">
        <v>120</v>
      </c>
      <c r="I289" t="str">
        <f>_xlfn.XLOOKUP($C289,dim_campaigns!$D$2:$D$3,dim_campaigns!$A$2:$A$3,"",0)</f>
        <v>Diwali</v>
      </c>
      <c r="J289" s="6">
        <f t="shared" si="8"/>
        <v>0.25</v>
      </c>
      <c r="K289">
        <f t="shared" si="9"/>
        <v>29640</v>
      </c>
      <c r="L289" t="str">
        <f>VLOOKUP($B289,dim_stores!$A$1:$C$51,2,0)</f>
        <v>Chennai</v>
      </c>
    </row>
    <row r="290" spans="1:12" x14ac:dyDescent="0.3">
      <c r="A290" t="s">
        <v>345</v>
      </c>
      <c r="B290" t="s">
        <v>190</v>
      </c>
      <c r="C290" t="s">
        <v>10</v>
      </c>
      <c r="D290" t="s">
        <v>24</v>
      </c>
      <c r="E290">
        <v>3000</v>
      </c>
      <c r="F290" t="s">
        <v>25</v>
      </c>
      <c r="G290">
        <v>73</v>
      </c>
      <c r="H290">
        <v>170</v>
      </c>
      <c r="I290" t="str">
        <f>_xlfn.XLOOKUP($C290,dim_campaigns!$D$2:$D$3,dim_campaigns!$A$2:$A$3,"",0)</f>
        <v>Sankranti</v>
      </c>
      <c r="J290" s="6">
        <f t="shared" si="8"/>
        <v>1.3287671232876712</v>
      </c>
      <c r="K290">
        <f t="shared" si="9"/>
        <v>644000</v>
      </c>
      <c r="L290" t="str">
        <f>VLOOKUP($B290,dim_stores!$A$1:$C$51,2,0)</f>
        <v>Visakhapatnam</v>
      </c>
    </row>
    <row r="291" spans="1:12" x14ac:dyDescent="0.3">
      <c r="A291" t="s">
        <v>346</v>
      </c>
      <c r="B291" t="s">
        <v>37</v>
      </c>
      <c r="C291" t="s">
        <v>10</v>
      </c>
      <c r="D291" t="s">
        <v>32</v>
      </c>
      <c r="E291">
        <v>50</v>
      </c>
      <c r="F291" t="s">
        <v>17</v>
      </c>
      <c r="G291">
        <v>22</v>
      </c>
      <c r="H291">
        <v>18</v>
      </c>
      <c r="I291" t="str">
        <f>_xlfn.XLOOKUP($C291,dim_campaigns!$D$2:$D$3,dim_campaigns!$A$2:$A$3,"",0)</f>
        <v>Sankranti</v>
      </c>
      <c r="J291" s="6">
        <f t="shared" si="8"/>
        <v>-0.18181818181818182</v>
      </c>
      <c r="K291">
        <f t="shared" si="9"/>
        <v>1775</v>
      </c>
      <c r="L291" t="str">
        <f>VLOOKUP($B291,dim_stores!$A$1:$C$51,2,0)</f>
        <v>Coimbatore</v>
      </c>
    </row>
    <row r="292" spans="1:12" x14ac:dyDescent="0.3">
      <c r="A292" t="s">
        <v>347</v>
      </c>
      <c r="B292" t="s">
        <v>14</v>
      </c>
      <c r="C292" t="s">
        <v>10</v>
      </c>
      <c r="D292" t="s">
        <v>53</v>
      </c>
      <c r="E292">
        <v>860</v>
      </c>
      <c r="F292" t="s">
        <v>54</v>
      </c>
      <c r="G292">
        <v>441</v>
      </c>
      <c r="H292">
        <v>626</v>
      </c>
      <c r="I292" t="str">
        <f>_xlfn.XLOOKUP($C292,dim_campaigns!$D$2:$D$3,dim_campaigns!$A$2:$A$3,"",0)</f>
        <v>Sankranti</v>
      </c>
      <c r="J292" s="6">
        <f t="shared" si="8"/>
        <v>0.41950113378684806</v>
      </c>
      <c r="K292">
        <f t="shared" si="9"/>
        <v>739961.2</v>
      </c>
      <c r="L292" t="str">
        <f>VLOOKUP($B292,dim_stores!$A$1:$C$51,2,0)</f>
        <v>Bengaluru</v>
      </c>
    </row>
    <row r="293" spans="1:12" x14ac:dyDescent="0.3">
      <c r="A293" t="s">
        <v>348</v>
      </c>
      <c r="B293" t="s">
        <v>50</v>
      </c>
      <c r="C293" t="s">
        <v>10</v>
      </c>
      <c r="D293" t="s">
        <v>24</v>
      </c>
      <c r="E293">
        <v>3000</v>
      </c>
      <c r="F293" t="s">
        <v>25</v>
      </c>
      <c r="G293">
        <v>114</v>
      </c>
      <c r="H293">
        <v>249</v>
      </c>
      <c r="I293" t="str">
        <f>_xlfn.XLOOKUP($C293,dim_campaigns!$D$2:$D$3,dim_campaigns!$A$2:$A$3,"",0)</f>
        <v>Sankranti</v>
      </c>
      <c r="J293" s="6">
        <f t="shared" si="8"/>
        <v>1.1842105263157894</v>
      </c>
      <c r="K293">
        <f t="shared" si="9"/>
        <v>964500</v>
      </c>
      <c r="L293" t="str">
        <f>VLOOKUP($B293,dim_stores!$A$1:$C$51,2,0)</f>
        <v>Bengaluru</v>
      </c>
    </row>
    <row r="294" spans="1:12" x14ac:dyDescent="0.3">
      <c r="A294">
        <v>127984</v>
      </c>
      <c r="B294" t="s">
        <v>137</v>
      </c>
      <c r="C294" t="s">
        <v>15</v>
      </c>
      <c r="D294" t="s">
        <v>51</v>
      </c>
      <c r="E294">
        <v>290</v>
      </c>
      <c r="F294" t="s">
        <v>17</v>
      </c>
      <c r="G294">
        <v>141</v>
      </c>
      <c r="H294">
        <v>125</v>
      </c>
      <c r="I294" t="str">
        <f>_xlfn.XLOOKUP($C294,dim_campaigns!$D$2:$D$3,dim_campaigns!$A$2:$A$3,"",0)</f>
        <v>Diwali</v>
      </c>
      <c r="J294" s="6">
        <f t="shared" si="8"/>
        <v>-0.11347517730496454</v>
      </c>
      <c r="K294">
        <f t="shared" si="9"/>
        <v>68077.5</v>
      </c>
      <c r="L294" t="str">
        <f>VLOOKUP($B294,dim_stores!$A$1:$C$51,2,0)</f>
        <v>Mangalore</v>
      </c>
    </row>
    <row r="295" spans="1:12" x14ac:dyDescent="0.3">
      <c r="A295" t="s">
        <v>349</v>
      </c>
      <c r="B295" t="s">
        <v>161</v>
      </c>
      <c r="C295" t="s">
        <v>15</v>
      </c>
      <c r="D295" t="s">
        <v>28</v>
      </c>
      <c r="E295">
        <v>55</v>
      </c>
      <c r="F295" t="s">
        <v>17</v>
      </c>
      <c r="G295">
        <v>112</v>
      </c>
      <c r="H295">
        <v>107</v>
      </c>
      <c r="I295" t="str">
        <f>_xlfn.XLOOKUP($C295,dim_campaigns!$D$2:$D$3,dim_campaigns!$A$2:$A$3,"",0)</f>
        <v>Diwali</v>
      </c>
      <c r="J295" s="6">
        <f t="shared" si="8"/>
        <v>-4.4642857142857144E-2</v>
      </c>
      <c r="K295">
        <f t="shared" si="9"/>
        <v>10573.75</v>
      </c>
      <c r="L295" t="str">
        <f>VLOOKUP($B295,dim_stores!$A$1:$C$51,2,0)</f>
        <v>Chennai</v>
      </c>
    </row>
    <row r="296" spans="1:12" x14ac:dyDescent="0.3">
      <c r="A296" t="s">
        <v>350</v>
      </c>
      <c r="B296" t="s">
        <v>119</v>
      </c>
      <c r="C296" t="s">
        <v>15</v>
      </c>
      <c r="D296" t="s">
        <v>68</v>
      </c>
      <c r="E296">
        <v>1020</v>
      </c>
      <c r="F296" t="s">
        <v>21</v>
      </c>
      <c r="G296">
        <v>52</v>
      </c>
      <c r="H296">
        <v>211</v>
      </c>
      <c r="I296" t="str">
        <f>_xlfn.XLOOKUP($C296,dim_campaigns!$D$2:$D$3,dim_campaigns!$A$2:$A$3,"",0)</f>
        <v>Diwali</v>
      </c>
      <c r="J296" s="6">
        <f t="shared" si="8"/>
        <v>3.0576923076923075</v>
      </c>
      <c r="K296">
        <f t="shared" si="9"/>
        <v>160650</v>
      </c>
      <c r="L296" t="str">
        <f>VLOOKUP($B296,dim_stores!$A$1:$C$51,2,0)</f>
        <v>Chennai</v>
      </c>
    </row>
    <row r="297" spans="1:12" x14ac:dyDescent="0.3">
      <c r="A297" t="s">
        <v>351</v>
      </c>
      <c r="B297" t="s">
        <v>45</v>
      </c>
      <c r="C297" t="s">
        <v>15</v>
      </c>
      <c r="D297" t="s">
        <v>32</v>
      </c>
      <c r="E297">
        <v>65</v>
      </c>
      <c r="F297" t="s">
        <v>12</v>
      </c>
      <c r="G297">
        <v>105</v>
      </c>
      <c r="H297">
        <v>137</v>
      </c>
      <c r="I297" t="str">
        <f>_xlfn.XLOOKUP($C297,dim_campaigns!$D$2:$D$3,dim_campaigns!$A$2:$A$3,"",0)</f>
        <v>Diwali</v>
      </c>
      <c r="J297" s="6">
        <f t="shared" si="8"/>
        <v>0.30476190476190479</v>
      </c>
      <c r="K297">
        <f t="shared" si="9"/>
        <v>11277.5</v>
      </c>
      <c r="L297" t="str">
        <f>VLOOKUP($B297,dim_stores!$A$1:$C$51,2,0)</f>
        <v>Hyderabad</v>
      </c>
    </row>
    <row r="298" spans="1:12" x14ac:dyDescent="0.3">
      <c r="A298" t="s">
        <v>352</v>
      </c>
      <c r="B298" t="s">
        <v>45</v>
      </c>
      <c r="C298" t="s">
        <v>15</v>
      </c>
      <c r="D298" t="s">
        <v>38</v>
      </c>
      <c r="E298">
        <v>1190</v>
      </c>
      <c r="F298" t="s">
        <v>21</v>
      </c>
      <c r="G298">
        <v>49</v>
      </c>
      <c r="H298">
        <v>166</v>
      </c>
      <c r="I298" t="str">
        <f>_xlfn.XLOOKUP($C298,dim_campaigns!$D$2:$D$3,dim_campaigns!$A$2:$A$3,"",0)</f>
        <v>Diwali</v>
      </c>
      <c r="J298" s="6">
        <f t="shared" si="8"/>
        <v>2.3877551020408165</v>
      </c>
      <c r="K298">
        <f t="shared" si="9"/>
        <v>157080</v>
      </c>
      <c r="L298" t="str">
        <f>VLOOKUP($B298,dim_stores!$A$1:$C$51,2,0)</f>
        <v>Hyderabad</v>
      </c>
    </row>
    <row r="299" spans="1:12" x14ac:dyDescent="0.3">
      <c r="A299" t="s">
        <v>353</v>
      </c>
      <c r="B299" t="s">
        <v>63</v>
      </c>
      <c r="C299" t="s">
        <v>15</v>
      </c>
      <c r="D299" t="s">
        <v>43</v>
      </c>
      <c r="E299">
        <v>415</v>
      </c>
      <c r="F299" t="s">
        <v>17</v>
      </c>
      <c r="G299">
        <v>63</v>
      </c>
      <c r="H299">
        <v>51</v>
      </c>
      <c r="I299" t="str">
        <f>_xlfn.XLOOKUP($C299,dim_campaigns!$D$2:$D$3,dim_campaigns!$A$2:$A$3,"",0)</f>
        <v>Diwali</v>
      </c>
      <c r="J299" s="6">
        <f t="shared" si="8"/>
        <v>-0.19047619047619047</v>
      </c>
      <c r="K299">
        <f t="shared" si="9"/>
        <v>42018.75</v>
      </c>
      <c r="L299" t="str">
        <f>VLOOKUP($B299,dim_stores!$A$1:$C$51,2,0)</f>
        <v>Visakhapatnam</v>
      </c>
    </row>
    <row r="300" spans="1:12" x14ac:dyDescent="0.3">
      <c r="A300">
        <v>463205</v>
      </c>
      <c r="B300" t="s">
        <v>31</v>
      </c>
      <c r="C300" t="s">
        <v>15</v>
      </c>
      <c r="D300" t="s">
        <v>53</v>
      </c>
      <c r="E300">
        <v>860</v>
      </c>
      <c r="F300" t="s">
        <v>54</v>
      </c>
      <c r="G300">
        <v>215</v>
      </c>
      <c r="H300">
        <v>371</v>
      </c>
      <c r="I300" t="str">
        <f>_xlfn.XLOOKUP($C300,dim_campaigns!$D$2:$D$3,dim_campaigns!$A$2:$A$3,"",0)</f>
        <v>Diwali</v>
      </c>
      <c r="J300" s="6">
        <f t="shared" si="8"/>
        <v>0.72558139534883725</v>
      </c>
      <c r="K300">
        <f t="shared" si="9"/>
        <v>398670.2</v>
      </c>
      <c r="L300" t="str">
        <f>VLOOKUP($B300,dim_stores!$A$1:$C$51,2,0)</f>
        <v>Visakhapatnam</v>
      </c>
    </row>
    <row r="301" spans="1:12" x14ac:dyDescent="0.3">
      <c r="A301" t="s">
        <v>354</v>
      </c>
      <c r="B301" t="s">
        <v>137</v>
      </c>
      <c r="C301" t="s">
        <v>15</v>
      </c>
      <c r="D301" t="s">
        <v>68</v>
      </c>
      <c r="E301">
        <v>1020</v>
      </c>
      <c r="F301" t="s">
        <v>21</v>
      </c>
      <c r="G301">
        <v>21</v>
      </c>
      <c r="H301">
        <v>73</v>
      </c>
      <c r="I301" t="str">
        <f>_xlfn.XLOOKUP($C301,dim_campaigns!$D$2:$D$3,dim_campaigns!$A$2:$A$3,"",0)</f>
        <v>Diwali</v>
      </c>
      <c r="J301" s="6">
        <f t="shared" si="8"/>
        <v>2.4761904761904763</v>
      </c>
      <c r="K301">
        <f t="shared" si="9"/>
        <v>58650</v>
      </c>
      <c r="L301" t="str">
        <f>VLOOKUP($B301,dim_stores!$A$1:$C$51,2,0)</f>
        <v>Mangalore</v>
      </c>
    </row>
    <row r="302" spans="1:12" x14ac:dyDescent="0.3">
      <c r="A302" t="s">
        <v>355</v>
      </c>
      <c r="B302" t="s">
        <v>119</v>
      </c>
      <c r="C302" t="s">
        <v>15</v>
      </c>
      <c r="D302" t="s">
        <v>53</v>
      </c>
      <c r="E302">
        <v>860</v>
      </c>
      <c r="F302" t="s">
        <v>54</v>
      </c>
      <c r="G302">
        <v>371</v>
      </c>
      <c r="H302">
        <v>519</v>
      </c>
      <c r="I302" t="str">
        <f>_xlfn.XLOOKUP($C302,dim_campaigns!$D$2:$D$3,dim_campaigns!$A$2:$A$3,"",0)</f>
        <v>Diwali</v>
      </c>
      <c r="J302" s="6">
        <f t="shared" si="8"/>
        <v>0.39892183288409705</v>
      </c>
      <c r="K302">
        <f t="shared" si="9"/>
        <v>618107.80000000005</v>
      </c>
      <c r="L302" t="str">
        <f>VLOOKUP($B302,dim_stores!$A$1:$C$51,2,0)</f>
        <v>Chennai</v>
      </c>
    </row>
    <row r="303" spans="1:12" x14ac:dyDescent="0.3">
      <c r="A303" t="s">
        <v>356</v>
      </c>
      <c r="B303" t="s">
        <v>34</v>
      </c>
      <c r="C303" t="s">
        <v>10</v>
      </c>
      <c r="D303" t="s">
        <v>43</v>
      </c>
      <c r="E303">
        <v>415</v>
      </c>
      <c r="F303" t="s">
        <v>17</v>
      </c>
      <c r="G303">
        <v>34</v>
      </c>
      <c r="H303">
        <v>31</v>
      </c>
      <c r="I303" t="str">
        <f>_xlfn.XLOOKUP($C303,dim_campaigns!$D$2:$D$3,dim_campaigns!$A$2:$A$3,"",0)</f>
        <v>Sankranti</v>
      </c>
      <c r="J303" s="6">
        <f t="shared" si="8"/>
        <v>-8.8235294117647065E-2</v>
      </c>
      <c r="K303">
        <f t="shared" si="9"/>
        <v>23758.75</v>
      </c>
      <c r="L303" t="str">
        <f>VLOOKUP($B303,dim_stores!$A$1:$C$51,2,0)</f>
        <v>Hyderabad</v>
      </c>
    </row>
    <row r="304" spans="1:12" x14ac:dyDescent="0.3">
      <c r="A304" t="s">
        <v>357</v>
      </c>
      <c r="B304" t="s">
        <v>56</v>
      </c>
      <c r="C304" t="s">
        <v>10</v>
      </c>
      <c r="D304" t="s">
        <v>11</v>
      </c>
      <c r="E304">
        <v>190</v>
      </c>
      <c r="F304" t="s">
        <v>12</v>
      </c>
      <c r="G304">
        <v>58</v>
      </c>
      <c r="H304">
        <v>68</v>
      </c>
      <c r="I304" t="str">
        <f>_xlfn.XLOOKUP($C304,dim_campaigns!$D$2:$D$3,dim_campaigns!$A$2:$A$3,"",0)</f>
        <v>Sankranti</v>
      </c>
      <c r="J304" s="6">
        <f t="shared" si="8"/>
        <v>0.17241379310344829</v>
      </c>
      <c r="K304">
        <f t="shared" si="9"/>
        <v>17480</v>
      </c>
      <c r="L304" t="str">
        <f>VLOOKUP($B304,dim_stores!$A$1:$C$51,2,0)</f>
        <v>Chennai</v>
      </c>
    </row>
    <row r="305" spans="1:12" x14ac:dyDescent="0.3">
      <c r="A305" t="s">
        <v>358</v>
      </c>
      <c r="B305" t="s">
        <v>9</v>
      </c>
      <c r="C305" t="s">
        <v>15</v>
      </c>
      <c r="D305" t="s">
        <v>53</v>
      </c>
      <c r="E305">
        <v>860</v>
      </c>
      <c r="F305" t="s">
        <v>54</v>
      </c>
      <c r="G305">
        <v>183</v>
      </c>
      <c r="H305">
        <v>327</v>
      </c>
      <c r="I305" t="str">
        <f>_xlfn.XLOOKUP($C305,dim_campaigns!$D$2:$D$3,dim_campaigns!$A$2:$A$3,"",0)</f>
        <v>Diwali</v>
      </c>
      <c r="J305" s="6">
        <f t="shared" si="8"/>
        <v>0.78688524590163933</v>
      </c>
      <c r="K305">
        <f t="shared" si="9"/>
        <v>345797.4</v>
      </c>
      <c r="L305" t="str">
        <f>VLOOKUP($B305,dim_stores!$A$1:$C$51,2,0)</f>
        <v>Coimbatore</v>
      </c>
    </row>
    <row r="306" spans="1:12" x14ac:dyDescent="0.3">
      <c r="A306" t="s">
        <v>359</v>
      </c>
      <c r="B306" t="s">
        <v>84</v>
      </c>
      <c r="C306" t="s">
        <v>10</v>
      </c>
      <c r="D306" t="s">
        <v>61</v>
      </c>
      <c r="E306">
        <v>172</v>
      </c>
      <c r="F306" t="s">
        <v>54</v>
      </c>
      <c r="G306">
        <v>345</v>
      </c>
      <c r="H306">
        <v>520</v>
      </c>
      <c r="I306" t="str">
        <f>_xlfn.XLOOKUP($C306,dim_campaigns!$D$2:$D$3,dim_campaigns!$A$2:$A$3,"",0)</f>
        <v>Sankranti</v>
      </c>
      <c r="J306" s="6">
        <f t="shared" si="8"/>
        <v>0.50724637681159424</v>
      </c>
      <c r="K306">
        <f t="shared" si="9"/>
        <v>119264.79999999999</v>
      </c>
      <c r="L306" t="str">
        <f>VLOOKUP($B306,dim_stores!$A$1:$C$51,2,0)</f>
        <v>Mysuru</v>
      </c>
    </row>
    <row r="307" spans="1:12" x14ac:dyDescent="0.3">
      <c r="A307" s="1">
        <v>68800000000</v>
      </c>
      <c r="B307" t="s">
        <v>19</v>
      </c>
      <c r="C307" t="s">
        <v>10</v>
      </c>
      <c r="D307" t="s">
        <v>38</v>
      </c>
      <c r="E307">
        <v>1190</v>
      </c>
      <c r="F307" t="s">
        <v>21</v>
      </c>
      <c r="G307">
        <v>22</v>
      </c>
      <c r="H307">
        <v>88</v>
      </c>
      <c r="I307" t="str">
        <f>_xlfn.XLOOKUP($C307,dim_campaigns!$D$2:$D$3,dim_campaigns!$A$2:$A$3,"",0)</f>
        <v>Sankranti</v>
      </c>
      <c r="J307" s="6">
        <f t="shared" si="8"/>
        <v>3</v>
      </c>
      <c r="K307">
        <f t="shared" si="9"/>
        <v>78540</v>
      </c>
      <c r="L307" t="str">
        <f>VLOOKUP($B307,dim_stores!$A$1:$C$51,2,0)</f>
        <v>Vijayawada</v>
      </c>
    </row>
    <row r="308" spans="1:12" x14ac:dyDescent="0.3">
      <c r="A308" t="s">
        <v>360</v>
      </c>
      <c r="B308" t="s">
        <v>67</v>
      </c>
      <c r="C308" t="s">
        <v>15</v>
      </c>
      <c r="D308" t="s">
        <v>38</v>
      </c>
      <c r="E308">
        <v>1190</v>
      </c>
      <c r="F308" t="s">
        <v>21</v>
      </c>
      <c r="G308">
        <v>56</v>
      </c>
      <c r="H308">
        <v>220</v>
      </c>
      <c r="I308" t="str">
        <f>_xlfn.XLOOKUP($C308,dim_campaigns!$D$2:$D$3,dim_campaigns!$A$2:$A$3,"",0)</f>
        <v>Diwali</v>
      </c>
      <c r="J308" s="6">
        <f t="shared" si="8"/>
        <v>2.9285714285714284</v>
      </c>
      <c r="K308">
        <f t="shared" si="9"/>
        <v>197540</v>
      </c>
      <c r="L308" t="str">
        <f>VLOOKUP($B308,dim_stores!$A$1:$C$51,2,0)</f>
        <v>Bengaluru</v>
      </c>
    </row>
    <row r="309" spans="1:12" x14ac:dyDescent="0.3">
      <c r="A309" s="1">
        <v>734000000000</v>
      </c>
      <c r="B309" t="s">
        <v>110</v>
      </c>
      <c r="C309" t="s">
        <v>15</v>
      </c>
      <c r="D309" t="s">
        <v>43</v>
      </c>
      <c r="E309">
        <v>415</v>
      </c>
      <c r="F309" t="s">
        <v>17</v>
      </c>
      <c r="G309">
        <v>105</v>
      </c>
      <c r="H309">
        <v>92</v>
      </c>
      <c r="I309" t="str">
        <f>_xlfn.XLOOKUP($C309,dim_campaigns!$D$2:$D$3,dim_campaigns!$A$2:$A$3,"",0)</f>
        <v>Diwali</v>
      </c>
      <c r="J309" s="6">
        <f t="shared" si="8"/>
        <v>-0.12380952380952381</v>
      </c>
      <c r="K309">
        <f t="shared" si="9"/>
        <v>72210</v>
      </c>
      <c r="L309" t="str">
        <f>VLOOKUP($B309,dim_stores!$A$1:$C$51,2,0)</f>
        <v>Chennai</v>
      </c>
    </row>
    <row r="310" spans="1:12" x14ac:dyDescent="0.3">
      <c r="A310" t="s">
        <v>361</v>
      </c>
      <c r="B310" t="s">
        <v>67</v>
      </c>
      <c r="C310" t="s">
        <v>15</v>
      </c>
      <c r="D310" t="s">
        <v>32</v>
      </c>
      <c r="E310">
        <v>65</v>
      </c>
      <c r="F310" t="s">
        <v>12</v>
      </c>
      <c r="G310">
        <v>103</v>
      </c>
      <c r="H310">
        <v>134</v>
      </c>
      <c r="I310" t="str">
        <f>_xlfn.XLOOKUP($C310,dim_campaigns!$D$2:$D$3,dim_campaigns!$A$2:$A$3,"",0)</f>
        <v>Diwali</v>
      </c>
      <c r="J310" s="6">
        <f t="shared" si="8"/>
        <v>0.30097087378640774</v>
      </c>
      <c r="K310">
        <f t="shared" si="9"/>
        <v>11050</v>
      </c>
      <c r="L310" t="str">
        <f>VLOOKUP($B310,dim_stores!$A$1:$C$51,2,0)</f>
        <v>Bengaluru</v>
      </c>
    </row>
    <row r="311" spans="1:12" x14ac:dyDescent="0.3">
      <c r="A311" t="s">
        <v>362</v>
      </c>
      <c r="B311" t="s">
        <v>107</v>
      </c>
      <c r="C311" t="s">
        <v>10</v>
      </c>
      <c r="D311" t="s">
        <v>20</v>
      </c>
      <c r="E311">
        <v>300</v>
      </c>
      <c r="F311" t="s">
        <v>21</v>
      </c>
      <c r="G311">
        <v>30</v>
      </c>
      <c r="H311">
        <v>117</v>
      </c>
      <c r="I311" t="str">
        <f>_xlfn.XLOOKUP($C311,dim_campaigns!$D$2:$D$3,dim_campaigns!$A$2:$A$3,"",0)</f>
        <v>Sankranti</v>
      </c>
      <c r="J311" s="6">
        <f t="shared" si="8"/>
        <v>2.9</v>
      </c>
      <c r="K311">
        <f t="shared" si="9"/>
        <v>26550</v>
      </c>
      <c r="L311" t="str">
        <f>VLOOKUP($B311,dim_stores!$A$1:$C$51,2,0)</f>
        <v>Coimbatore</v>
      </c>
    </row>
    <row r="312" spans="1:12" x14ac:dyDescent="0.3">
      <c r="A312" t="s">
        <v>363</v>
      </c>
      <c r="B312" t="s">
        <v>123</v>
      </c>
      <c r="C312" t="s">
        <v>10</v>
      </c>
      <c r="D312" t="s">
        <v>85</v>
      </c>
      <c r="E312">
        <v>90</v>
      </c>
      <c r="F312" t="s">
        <v>17</v>
      </c>
      <c r="G312">
        <v>82</v>
      </c>
      <c r="H312">
        <v>74</v>
      </c>
      <c r="I312" t="str">
        <f>_xlfn.XLOOKUP($C312,dim_campaigns!$D$2:$D$3,dim_campaigns!$A$2:$A$3,"",0)</f>
        <v>Sankranti</v>
      </c>
      <c r="J312" s="6">
        <f t="shared" si="8"/>
        <v>-9.7560975609756101E-2</v>
      </c>
      <c r="K312">
        <f t="shared" si="9"/>
        <v>12375</v>
      </c>
      <c r="L312" t="str">
        <f>VLOOKUP($B312,dim_stores!$A$1:$C$51,2,0)</f>
        <v>Bengaluru</v>
      </c>
    </row>
    <row r="313" spans="1:12" x14ac:dyDescent="0.3">
      <c r="A313" t="s">
        <v>364</v>
      </c>
      <c r="B313" t="s">
        <v>123</v>
      </c>
      <c r="C313" t="s">
        <v>10</v>
      </c>
      <c r="D313" t="s">
        <v>38</v>
      </c>
      <c r="E313">
        <v>1190</v>
      </c>
      <c r="F313" t="s">
        <v>21</v>
      </c>
      <c r="G313">
        <v>58</v>
      </c>
      <c r="H313">
        <v>158</v>
      </c>
      <c r="I313" t="str">
        <f>_xlfn.XLOOKUP($C313,dim_campaigns!$D$2:$D$3,dim_campaigns!$A$2:$A$3,"",0)</f>
        <v>Sankranti</v>
      </c>
      <c r="J313" s="6">
        <f t="shared" si="8"/>
        <v>1.7241379310344827</v>
      </c>
      <c r="K313">
        <f t="shared" si="9"/>
        <v>163030</v>
      </c>
      <c r="L313" t="str">
        <f>VLOOKUP($B313,dim_stores!$A$1:$C$51,2,0)</f>
        <v>Bengaluru</v>
      </c>
    </row>
    <row r="314" spans="1:12" x14ac:dyDescent="0.3">
      <c r="A314" t="s">
        <v>365</v>
      </c>
      <c r="B314" t="s">
        <v>174</v>
      </c>
      <c r="C314" t="s">
        <v>10</v>
      </c>
      <c r="D314" t="s">
        <v>61</v>
      </c>
      <c r="E314">
        <v>172</v>
      </c>
      <c r="F314" t="s">
        <v>54</v>
      </c>
      <c r="G314">
        <v>165</v>
      </c>
      <c r="H314">
        <v>232</v>
      </c>
      <c r="I314" t="str">
        <f>_xlfn.XLOOKUP($C314,dim_campaigns!$D$2:$D$3,dim_campaigns!$A$2:$A$3,"",0)</f>
        <v>Sankranti</v>
      </c>
      <c r="J314" s="6">
        <f t="shared" si="8"/>
        <v>0.40606060606060607</v>
      </c>
      <c r="K314">
        <f t="shared" si="9"/>
        <v>55115.68</v>
      </c>
      <c r="L314" t="str">
        <f>VLOOKUP($B314,dim_stores!$A$1:$C$51,2,0)</f>
        <v>Trivandrum</v>
      </c>
    </row>
    <row r="315" spans="1:12" x14ac:dyDescent="0.3">
      <c r="A315" t="s">
        <v>366</v>
      </c>
      <c r="B315" t="s">
        <v>40</v>
      </c>
      <c r="C315" t="s">
        <v>10</v>
      </c>
      <c r="D315" t="s">
        <v>61</v>
      </c>
      <c r="E315">
        <v>172</v>
      </c>
      <c r="F315" t="s">
        <v>54</v>
      </c>
      <c r="G315">
        <v>265</v>
      </c>
      <c r="H315">
        <v>328</v>
      </c>
      <c r="I315" t="str">
        <f>_xlfn.XLOOKUP($C315,dim_campaigns!$D$2:$D$3,dim_campaigns!$A$2:$A$3,"",0)</f>
        <v>Sankranti</v>
      </c>
      <c r="J315" s="6">
        <f t="shared" si="8"/>
        <v>0.23773584905660378</v>
      </c>
      <c r="K315">
        <f t="shared" si="9"/>
        <v>83378.720000000001</v>
      </c>
      <c r="L315" t="str">
        <f>VLOOKUP($B315,dim_stores!$A$1:$C$51,2,0)</f>
        <v>Madurai</v>
      </c>
    </row>
    <row r="316" spans="1:12" x14ac:dyDescent="0.3">
      <c r="A316" t="s">
        <v>367</v>
      </c>
      <c r="B316" t="s">
        <v>52</v>
      </c>
      <c r="C316" t="s">
        <v>15</v>
      </c>
      <c r="D316" t="s">
        <v>20</v>
      </c>
      <c r="E316">
        <v>300</v>
      </c>
      <c r="F316" t="s">
        <v>21</v>
      </c>
      <c r="G316">
        <v>50</v>
      </c>
      <c r="H316">
        <v>149</v>
      </c>
      <c r="I316" t="str">
        <f>_xlfn.XLOOKUP($C316,dim_campaigns!$D$2:$D$3,dim_campaigns!$A$2:$A$3,"",0)</f>
        <v>Diwali</v>
      </c>
      <c r="J316" s="6">
        <f t="shared" si="8"/>
        <v>1.98</v>
      </c>
      <c r="K316">
        <f t="shared" si="9"/>
        <v>37350</v>
      </c>
      <c r="L316" t="str">
        <f>VLOOKUP($B316,dim_stores!$A$1:$C$51,2,0)</f>
        <v>Visakhapatnam</v>
      </c>
    </row>
    <row r="317" spans="1:12" x14ac:dyDescent="0.3">
      <c r="A317" t="s">
        <v>368</v>
      </c>
      <c r="B317" t="s">
        <v>60</v>
      </c>
      <c r="C317" t="s">
        <v>10</v>
      </c>
      <c r="D317" t="s">
        <v>20</v>
      </c>
      <c r="E317">
        <v>300</v>
      </c>
      <c r="F317" t="s">
        <v>21</v>
      </c>
      <c r="G317">
        <v>30</v>
      </c>
      <c r="H317">
        <v>117</v>
      </c>
      <c r="I317" t="str">
        <f>_xlfn.XLOOKUP($C317,dim_campaigns!$D$2:$D$3,dim_campaigns!$A$2:$A$3,"",0)</f>
        <v>Sankranti</v>
      </c>
      <c r="J317" s="6">
        <f t="shared" si="8"/>
        <v>2.9</v>
      </c>
      <c r="K317">
        <f t="shared" si="9"/>
        <v>26550</v>
      </c>
      <c r="L317" t="str">
        <f>VLOOKUP($B317,dim_stores!$A$1:$C$51,2,0)</f>
        <v>Trivandrum</v>
      </c>
    </row>
    <row r="318" spans="1:12" x14ac:dyDescent="0.3">
      <c r="A318" t="s">
        <v>369</v>
      </c>
      <c r="B318" t="s">
        <v>174</v>
      </c>
      <c r="C318" t="s">
        <v>10</v>
      </c>
      <c r="D318" t="s">
        <v>51</v>
      </c>
      <c r="E318">
        <v>370</v>
      </c>
      <c r="F318" t="s">
        <v>21</v>
      </c>
      <c r="G318">
        <v>190</v>
      </c>
      <c r="H318">
        <v>733</v>
      </c>
      <c r="I318" t="str">
        <f>_xlfn.XLOOKUP($C318,dim_campaigns!$D$2:$D$3,dim_campaigns!$A$2:$A$3,"",0)</f>
        <v>Sankranti</v>
      </c>
      <c r="J318" s="6">
        <f t="shared" si="8"/>
        <v>2.857894736842105</v>
      </c>
      <c r="K318">
        <f t="shared" si="9"/>
        <v>205905</v>
      </c>
      <c r="L318" t="str">
        <f>VLOOKUP($B318,dim_stores!$A$1:$C$51,2,0)</f>
        <v>Trivandrum</v>
      </c>
    </row>
    <row r="319" spans="1:12" x14ac:dyDescent="0.3">
      <c r="A319" t="s">
        <v>370</v>
      </c>
      <c r="B319" t="s">
        <v>58</v>
      </c>
      <c r="C319" t="s">
        <v>15</v>
      </c>
      <c r="D319" t="s">
        <v>48</v>
      </c>
      <c r="E319">
        <v>62</v>
      </c>
      <c r="F319" t="s">
        <v>12</v>
      </c>
      <c r="G319">
        <v>110</v>
      </c>
      <c r="H319">
        <v>130</v>
      </c>
      <c r="I319" t="str">
        <f>_xlfn.XLOOKUP($C319,dim_campaigns!$D$2:$D$3,dim_campaigns!$A$2:$A$3,"",0)</f>
        <v>Diwali</v>
      </c>
      <c r="J319" s="6">
        <f t="shared" si="8"/>
        <v>0.18181818181818182</v>
      </c>
      <c r="K319">
        <f t="shared" si="9"/>
        <v>10850</v>
      </c>
      <c r="L319" t="str">
        <f>VLOOKUP($B319,dim_stores!$A$1:$C$51,2,0)</f>
        <v>Chennai</v>
      </c>
    </row>
    <row r="320" spans="1:12" x14ac:dyDescent="0.3">
      <c r="A320" t="s">
        <v>371</v>
      </c>
      <c r="B320" t="s">
        <v>123</v>
      </c>
      <c r="C320" t="s">
        <v>15</v>
      </c>
      <c r="D320" t="s">
        <v>38</v>
      </c>
      <c r="E320">
        <v>1190</v>
      </c>
      <c r="F320" t="s">
        <v>21</v>
      </c>
      <c r="G320">
        <v>50</v>
      </c>
      <c r="H320">
        <v>149</v>
      </c>
      <c r="I320" t="str">
        <f>_xlfn.XLOOKUP($C320,dim_campaigns!$D$2:$D$3,dim_campaigns!$A$2:$A$3,"",0)</f>
        <v>Diwali</v>
      </c>
      <c r="J320" s="6">
        <f t="shared" si="8"/>
        <v>1.98</v>
      </c>
      <c r="K320">
        <f t="shared" si="9"/>
        <v>148155</v>
      </c>
      <c r="L320" t="str">
        <f>VLOOKUP($B320,dim_stores!$A$1:$C$51,2,0)</f>
        <v>Bengaluru</v>
      </c>
    </row>
    <row r="321" spans="1:12" x14ac:dyDescent="0.3">
      <c r="A321" t="s">
        <v>372</v>
      </c>
      <c r="B321" t="s">
        <v>9</v>
      </c>
      <c r="C321" t="s">
        <v>15</v>
      </c>
      <c r="D321" t="s">
        <v>32</v>
      </c>
      <c r="E321">
        <v>65</v>
      </c>
      <c r="F321" t="s">
        <v>12</v>
      </c>
      <c r="G321">
        <v>87</v>
      </c>
      <c r="H321">
        <v>127</v>
      </c>
      <c r="I321" t="str">
        <f>_xlfn.XLOOKUP($C321,dim_campaigns!$D$2:$D$3,dim_campaigns!$A$2:$A$3,"",0)</f>
        <v>Diwali</v>
      </c>
      <c r="J321" s="6">
        <f t="shared" si="8"/>
        <v>0.45977011494252873</v>
      </c>
      <c r="K321">
        <f t="shared" si="9"/>
        <v>9782.5</v>
      </c>
      <c r="L321" t="str">
        <f>VLOOKUP($B321,dim_stores!$A$1:$C$51,2,0)</f>
        <v>Coimbatore</v>
      </c>
    </row>
    <row r="322" spans="1:12" x14ac:dyDescent="0.3">
      <c r="A322" t="s">
        <v>373</v>
      </c>
      <c r="B322" t="s">
        <v>110</v>
      </c>
      <c r="C322" t="s">
        <v>15</v>
      </c>
      <c r="D322" t="s">
        <v>20</v>
      </c>
      <c r="E322">
        <v>300</v>
      </c>
      <c r="F322" t="s">
        <v>21</v>
      </c>
      <c r="G322">
        <v>75</v>
      </c>
      <c r="H322">
        <v>252</v>
      </c>
      <c r="I322" t="str">
        <f>_xlfn.XLOOKUP($C322,dim_campaigns!$D$2:$D$3,dim_campaigns!$A$2:$A$3,"",0)</f>
        <v>Diwali</v>
      </c>
      <c r="J322" s="6">
        <f t="shared" si="8"/>
        <v>2.36</v>
      </c>
      <c r="K322">
        <f t="shared" si="9"/>
        <v>60300</v>
      </c>
      <c r="L322" t="str">
        <f>VLOOKUP($B322,dim_stores!$A$1:$C$51,2,0)</f>
        <v>Chennai</v>
      </c>
    </row>
    <row r="323" spans="1:12" x14ac:dyDescent="0.3">
      <c r="A323" t="s">
        <v>374</v>
      </c>
      <c r="B323" t="s">
        <v>37</v>
      </c>
      <c r="C323" t="s">
        <v>10</v>
      </c>
      <c r="D323" t="s">
        <v>20</v>
      </c>
      <c r="E323">
        <v>300</v>
      </c>
      <c r="F323" t="s">
        <v>21</v>
      </c>
      <c r="G323">
        <v>43</v>
      </c>
      <c r="H323">
        <v>111</v>
      </c>
      <c r="I323" t="str">
        <f>_xlfn.XLOOKUP($C323,dim_campaigns!$D$2:$D$3,dim_campaigns!$A$2:$A$3,"",0)</f>
        <v>Sankranti</v>
      </c>
      <c r="J323" s="6">
        <f t="shared" ref="J323:J386" si="10">IFERROR((H323-G323)/G323,0)</f>
        <v>1.5813953488372092</v>
      </c>
      <c r="K323">
        <f t="shared" ref="K323:K386" si="11">E323*G323+(E323-IF(F323="500 Cashback",500,IF(F323="BOGOF",E323*50%,IF(F323="25% OFF",E323*25%,IF(F323="33% OFF",E323*33%,IF(F323="50% OFF",E323*50%,0))))))*H323</f>
        <v>29550</v>
      </c>
      <c r="L323" t="str">
        <f>VLOOKUP($B323,dim_stores!$A$1:$C$51,2,0)</f>
        <v>Coimbatore</v>
      </c>
    </row>
    <row r="324" spans="1:12" x14ac:dyDescent="0.3">
      <c r="A324" t="s">
        <v>375</v>
      </c>
      <c r="B324" t="s">
        <v>96</v>
      </c>
      <c r="C324" t="s">
        <v>15</v>
      </c>
      <c r="D324" t="s">
        <v>43</v>
      </c>
      <c r="E324">
        <v>415</v>
      </c>
      <c r="F324" t="s">
        <v>17</v>
      </c>
      <c r="G324">
        <v>101</v>
      </c>
      <c r="H324">
        <v>89</v>
      </c>
      <c r="I324" t="str">
        <f>_xlfn.XLOOKUP($C324,dim_campaigns!$D$2:$D$3,dim_campaigns!$A$2:$A$3,"",0)</f>
        <v>Diwali</v>
      </c>
      <c r="J324" s="6">
        <f t="shared" si="10"/>
        <v>-0.11881188118811881</v>
      </c>
      <c r="K324">
        <f t="shared" si="11"/>
        <v>69616.25</v>
      </c>
      <c r="L324" t="str">
        <f>VLOOKUP($B324,dim_stores!$A$1:$C$51,2,0)</f>
        <v>Mysuru</v>
      </c>
    </row>
    <row r="325" spans="1:12" x14ac:dyDescent="0.3">
      <c r="A325" t="s">
        <v>376</v>
      </c>
      <c r="B325" t="s">
        <v>81</v>
      </c>
      <c r="C325" t="s">
        <v>15</v>
      </c>
      <c r="D325" t="s">
        <v>51</v>
      </c>
      <c r="E325">
        <v>290</v>
      </c>
      <c r="F325" t="s">
        <v>17</v>
      </c>
      <c r="G325">
        <v>234</v>
      </c>
      <c r="H325">
        <v>208</v>
      </c>
      <c r="I325" t="str">
        <f>_xlfn.XLOOKUP($C325,dim_campaigns!$D$2:$D$3,dim_campaigns!$A$2:$A$3,"",0)</f>
        <v>Diwali</v>
      </c>
      <c r="J325" s="6">
        <f t="shared" si="10"/>
        <v>-0.1111111111111111</v>
      </c>
      <c r="K325">
        <f t="shared" si="11"/>
        <v>113100</v>
      </c>
      <c r="L325" t="str">
        <f>VLOOKUP($B325,dim_stores!$A$1:$C$51,2,0)</f>
        <v>Madurai</v>
      </c>
    </row>
    <row r="326" spans="1:12" x14ac:dyDescent="0.3">
      <c r="A326" t="s">
        <v>377</v>
      </c>
      <c r="B326" t="s">
        <v>123</v>
      </c>
      <c r="C326" t="s">
        <v>15</v>
      </c>
      <c r="D326" t="s">
        <v>48</v>
      </c>
      <c r="E326">
        <v>62</v>
      </c>
      <c r="F326" t="s">
        <v>12</v>
      </c>
      <c r="G326">
        <v>129</v>
      </c>
      <c r="H326">
        <v>170</v>
      </c>
      <c r="I326" t="str">
        <f>_xlfn.XLOOKUP($C326,dim_campaigns!$D$2:$D$3,dim_campaigns!$A$2:$A$3,"",0)</f>
        <v>Diwali</v>
      </c>
      <c r="J326" s="6">
        <f t="shared" si="10"/>
        <v>0.31782945736434109</v>
      </c>
      <c r="K326">
        <f t="shared" si="11"/>
        <v>13268</v>
      </c>
      <c r="L326" t="str">
        <f>VLOOKUP($B326,dim_stores!$A$1:$C$51,2,0)</f>
        <v>Bengaluru</v>
      </c>
    </row>
    <row r="327" spans="1:12" x14ac:dyDescent="0.3">
      <c r="A327" t="s">
        <v>378</v>
      </c>
      <c r="B327" t="s">
        <v>123</v>
      </c>
      <c r="C327" t="s">
        <v>10</v>
      </c>
      <c r="D327" t="s">
        <v>53</v>
      </c>
      <c r="E327">
        <v>860</v>
      </c>
      <c r="F327" t="s">
        <v>54</v>
      </c>
      <c r="G327">
        <v>435</v>
      </c>
      <c r="H327">
        <v>622</v>
      </c>
      <c r="I327" t="str">
        <f>_xlfn.XLOOKUP($C327,dim_campaigns!$D$2:$D$3,dim_campaigns!$A$2:$A$3,"",0)</f>
        <v>Sankranti</v>
      </c>
      <c r="J327" s="6">
        <f t="shared" si="10"/>
        <v>0.42988505747126438</v>
      </c>
      <c r="K327">
        <f t="shared" si="11"/>
        <v>732496.4</v>
      </c>
      <c r="L327" t="str">
        <f>VLOOKUP($B327,dim_stores!$A$1:$C$51,2,0)</f>
        <v>Bengaluru</v>
      </c>
    </row>
    <row r="328" spans="1:12" x14ac:dyDescent="0.3">
      <c r="A328" t="s">
        <v>379</v>
      </c>
      <c r="B328" t="s">
        <v>45</v>
      </c>
      <c r="C328" t="s">
        <v>15</v>
      </c>
      <c r="D328" t="s">
        <v>24</v>
      </c>
      <c r="E328">
        <v>3000</v>
      </c>
      <c r="F328" t="s">
        <v>25</v>
      </c>
      <c r="G328">
        <v>388</v>
      </c>
      <c r="H328">
        <v>1129</v>
      </c>
      <c r="I328" t="str">
        <f>_xlfn.XLOOKUP($C328,dim_campaigns!$D$2:$D$3,dim_campaigns!$A$2:$A$3,"",0)</f>
        <v>Diwali</v>
      </c>
      <c r="J328" s="6">
        <f t="shared" si="10"/>
        <v>1.9097938144329898</v>
      </c>
      <c r="K328">
        <f t="shared" si="11"/>
        <v>3986500</v>
      </c>
      <c r="L328" t="str">
        <f>VLOOKUP($B328,dim_stores!$A$1:$C$51,2,0)</f>
        <v>Hyderabad</v>
      </c>
    </row>
    <row r="329" spans="1:12" x14ac:dyDescent="0.3">
      <c r="A329" t="s">
        <v>380</v>
      </c>
      <c r="B329" t="s">
        <v>91</v>
      </c>
      <c r="C329" t="s">
        <v>10</v>
      </c>
      <c r="D329" t="s">
        <v>24</v>
      </c>
      <c r="E329">
        <v>3000</v>
      </c>
      <c r="F329" t="s">
        <v>25</v>
      </c>
      <c r="G329">
        <v>121</v>
      </c>
      <c r="H329">
        <v>200</v>
      </c>
      <c r="I329" t="str">
        <f>_xlfn.XLOOKUP($C329,dim_campaigns!$D$2:$D$3,dim_campaigns!$A$2:$A$3,"",0)</f>
        <v>Sankranti</v>
      </c>
      <c r="J329" s="6">
        <f t="shared" si="10"/>
        <v>0.65289256198347112</v>
      </c>
      <c r="K329">
        <f t="shared" si="11"/>
        <v>863000</v>
      </c>
      <c r="L329" t="str">
        <f>VLOOKUP($B329,dim_stores!$A$1:$C$51,2,0)</f>
        <v>Hyderabad</v>
      </c>
    </row>
    <row r="330" spans="1:12" x14ac:dyDescent="0.3">
      <c r="A330" t="s">
        <v>381</v>
      </c>
      <c r="B330" t="s">
        <v>113</v>
      </c>
      <c r="C330" t="s">
        <v>10</v>
      </c>
      <c r="D330" t="s">
        <v>35</v>
      </c>
      <c r="E330">
        <v>350</v>
      </c>
      <c r="F330" t="s">
        <v>21</v>
      </c>
      <c r="G330">
        <v>124</v>
      </c>
      <c r="H330">
        <v>324</v>
      </c>
      <c r="I330" t="str">
        <f>_xlfn.XLOOKUP($C330,dim_campaigns!$D$2:$D$3,dim_campaigns!$A$2:$A$3,"",0)</f>
        <v>Sankranti</v>
      </c>
      <c r="J330" s="6">
        <f t="shared" si="10"/>
        <v>1.6129032258064515</v>
      </c>
      <c r="K330">
        <f t="shared" si="11"/>
        <v>100100</v>
      </c>
      <c r="L330" t="str">
        <f>VLOOKUP($B330,dim_stores!$A$1:$C$51,2,0)</f>
        <v>Chennai</v>
      </c>
    </row>
    <row r="331" spans="1:12" x14ac:dyDescent="0.3">
      <c r="A331" t="s">
        <v>382</v>
      </c>
      <c r="B331" t="s">
        <v>47</v>
      </c>
      <c r="C331" t="s">
        <v>10</v>
      </c>
      <c r="D331" t="s">
        <v>28</v>
      </c>
      <c r="E331">
        <v>55</v>
      </c>
      <c r="F331" t="s">
        <v>17</v>
      </c>
      <c r="G331">
        <v>25</v>
      </c>
      <c r="H331">
        <v>18</v>
      </c>
      <c r="I331" t="str">
        <f>_xlfn.XLOOKUP($C331,dim_campaigns!$D$2:$D$3,dim_campaigns!$A$2:$A$3,"",0)</f>
        <v>Sankranti</v>
      </c>
      <c r="J331" s="6">
        <f t="shared" si="10"/>
        <v>-0.28000000000000003</v>
      </c>
      <c r="K331">
        <f t="shared" si="11"/>
        <v>2117.5</v>
      </c>
      <c r="L331" t="str">
        <f>VLOOKUP($B331,dim_stores!$A$1:$C$51,2,0)</f>
        <v>Chennai</v>
      </c>
    </row>
    <row r="332" spans="1:12" x14ac:dyDescent="0.3">
      <c r="A332" t="s">
        <v>383</v>
      </c>
      <c r="B332" t="s">
        <v>115</v>
      </c>
      <c r="C332" t="s">
        <v>15</v>
      </c>
      <c r="D332" t="s">
        <v>16</v>
      </c>
      <c r="E332">
        <v>156</v>
      </c>
      <c r="F332" t="s">
        <v>17</v>
      </c>
      <c r="G332">
        <v>348</v>
      </c>
      <c r="H332">
        <v>337</v>
      </c>
      <c r="I332" t="str">
        <f>_xlfn.XLOOKUP($C332,dim_campaigns!$D$2:$D$3,dim_campaigns!$A$2:$A$3,"",0)</f>
        <v>Diwali</v>
      </c>
      <c r="J332" s="6">
        <f t="shared" si="10"/>
        <v>-3.1609195402298854E-2</v>
      </c>
      <c r="K332">
        <f t="shared" si="11"/>
        <v>93717</v>
      </c>
      <c r="L332" t="str">
        <f>VLOOKUP($B332,dim_stores!$A$1:$C$51,2,0)</f>
        <v>Bengaluru</v>
      </c>
    </row>
    <row r="333" spans="1:12" x14ac:dyDescent="0.3">
      <c r="A333" t="s">
        <v>384</v>
      </c>
      <c r="B333" t="s">
        <v>27</v>
      </c>
      <c r="C333" t="s">
        <v>10</v>
      </c>
      <c r="D333" t="s">
        <v>61</v>
      </c>
      <c r="E333">
        <v>172</v>
      </c>
      <c r="F333" t="s">
        <v>54</v>
      </c>
      <c r="G333">
        <v>301</v>
      </c>
      <c r="H333">
        <v>454</v>
      </c>
      <c r="I333" t="str">
        <f>_xlfn.XLOOKUP($C333,dim_campaigns!$D$2:$D$3,dim_campaigns!$A$2:$A$3,"",0)</f>
        <v>Sankranti</v>
      </c>
      <c r="J333" s="6">
        <f t="shared" si="10"/>
        <v>0.50830564784053156</v>
      </c>
      <c r="K333">
        <f t="shared" si="11"/>
        <v>104090.95999999999</v>
      </c>
      <c r="L333" t="str">
        <f>VLOOKUP($B333,dim_stores!$A$1:$C$51,2,0)</f>
        <v>Bengaluru</v>
      </c>
    </row>
    <row r="334" spans="1:12" x14ac:dyDescent="0.3">
      <c r="A334" t="s">
        <v>385</v>
      </c>
      <c r="B334" t="s">
        <v>9</v>
      </c>
      <c r="C334" t="s">
        <v>15</v>
      </c>
      <c r="D334" t="s">
        <v>68</v>
      </c>
      <c r="E334">
        <v>1020</v>
      </c>
      <c r="F334" t="s">
        <v>21</v>
      </c>
      <c r="G334">
        <v>42</v>
      </c>
      <c r="H334">
        <v>160</v>
      </c>
      <c r="I334" t="str">
        <f>_xlfn.XLOOKUP($C334,dim_campaigns!$D$2:$D$3,dim_campaigns!$A$2:$A$3,"",0)</f>
        <v>Diwali</v>
      </c>
      <c r="J334" s="6">
        <f t="shared" si="10"/>
        <v>2.8095238095238093</v>
      </c>
      <c r="K334">
        <f t="shared" si="11"/>
        <v>124440</v>
      </c>
      <c r="L334" t="str">
        <f>VLOOKUP($B334,dim_stores!$A$1:$C$51,2,0)</f>
        <v>Coimbatore</v>
      </c>
    </row>
    <row r="335" spans="1:12" x14ac:dyDescent="0.3">
      <c r="A335" t="s">
        <v>386</v>
      </c>
      <c r="B335" t="s">
        <v>95</v>
      </c>
      <c r="C335" t="s">
        <v>15</v>
      </c>
      <c r="D335" t="s">
        <v>53</v>
      </c>
      <c r="E335">
        <v>860</v>
      </c>
      <c r="F335" t="s">
        <v>54</v>
      </c>
      <c r="G335">
        <v>402</v>
      </c>
      <c r="H335">
        <v>611</v>
      </c>
      <c r="I335" t="str">
        <f>_xlfn.XLOOKUP($C335,dim_campaigns!$D$2:$D$3,dim_campaigns!$A$2:$A$3,"",0)</f>
        <v>Diwali</v>
      </c>
      <c r="J335" s="6">
        <f t="shared" si="10"/>
        <v>0.51990049751243783</v>
      </c>
      <c r="K335">
        <f t="shared" si="11"/>
        <v>697778.2</v>
      </c>
      <c r="L335" t="str">
        <f>VLOOKUP($B335,dim_stores!$A$1:$C$51,2,0)</f>
        <v>Hyderabad</v>
      </c>
    </row>
    <row r="336" spans="1:12" x14ac:dyDescent="0.3">
      <c r="A336" t="s">
        <v>387</v>
      </c>
      <c r="B336" t="s">
        <v>113</v>
      </c>
      <c r="C336" t="s">
        <v>10</v>
      </c>
      <c r="D336" t="s">
        <v>51</v>
      </c>
      <c r="E336">
        <v>370</v>
      </c>
      <c r="F336" t="s">
        <v>21</v>
      </c>
      <c r="G336">
        <v>460</v>
      </c>
      <c r="H336">
        <v>1168</v>
      </c>
      <c r="I336" t="str">
        <f>_xlfn.XLOOKUP($C336,dim_campaigns!$D$2:$D$3,dim_campaigns!$A$2:$A$3,"",0)</f>
        <v>Sankranti</v>
      </c>
      <c r="J336" s="6">
        <f t="shared" si="10"/>
        <v>1.5391304347826087</v>
      </c>
      <c r="K336">
        <f t="shared" si="11"/>
        <v>386280</v>
      </c>
      <c r="L336" t="str">
        <f>VLOOKUP($B336,dim_stores!$A$1:$C$51,2,0)</f>
        <v>Chennai</v>
      </c>
    </row>
    <row r="337" spans="1:12" x14ac:dyDescent="0.3">
      <c r="A337" t="s">
        <v>388</v>
      </c>
      <c r="B337" t="s">
        <v>60</v>
      </c>
      <c r="C337" t="s">
        <v>15</v>
      </c>
      <c r="D337" t="s">
        <v>35</v>
      </c>
      <c r="E337">
        <v>350</v>
      </c>
      <c r="F337" t="s">
        <v>21</v>
      </c>
      <c r="G337">
        <v>38</v>
      </c>
      <c r="H337">
        <v>129</v>
      </c>
      <c r="I337" t="str">
        <f>_xlfn.XLOOKUP($C337,dim_campaigns!$D$2:$D$3,dim_campaigns!$A$2:$A$3,"",0)</f>
        <v>Diwali</v>
      </c>
      <c r="J337" s="6">
        <f t="shared" si="10"/>
        <v>2.3947368421052633</v>
      </c>
      <c r="K337">
        <f t="shared" si="11"/>
        <v>35875</v>
      </c>
      <c r="L337" t="str">
        <f>VLOOKUP($B337,dim_stores!$A$1:$C$51,2,0)</f>
        <v>Trivandrum</v>
      </c>
    </row>
    <row r="338" spans="1:12" x14ac:dyDescent="0.3">
      <c r="A338" t="s">
        <v>389</v>
      </c>
      <c r="B338" t="s">
        <v>207</v>
      </c>
      <c r="C338" t="s">
        <v>10</v>
      </c>
      <c r="D338" t="s">
        <v>68</v>
      </c>
      <c r="E338">
        <v>1020</v>
      </c>
      <c r="F338" t="s">
        <v>21</v>
      </c>
      <c r="G338">
        <v>106</v>
      </c>
      <c r="H338">
        <v>422</v>
      </c>
      <c r="I338" t="str">
        <f>_xlfn.XLOOKUP($C338,dim_campaigns!$D$2:$D$3,dim_campaigns!$A$2:$A$3,"",0)</f>
        <v>Sankranti</v>
      </c>
      <c r="J338" s="6">
        <f t="shared" si="10"/>
        <v>2.9811320754716979</v>
      </c>
      <c r="K338">
        <f t="shared" si="11"/>
        <v>323340</v>
      </c>
      <c r="L338" t="str">
        <f>VLOOKUP($B338,dim_stores!$A$1:$C$51,2,0)</f>
        <v>Hyderabad</v>
      </c>
    </row>
    <row r="339" spans="1:12" x14ac:dyDescent="0.3">
      <c r="A339" t="s">
        <v>390</v>
      </c>
      <c r="B339" t="s">
        <v>126</v>
      </c>
      <c r="C339" t="s">
        <v>15</v>
      </c>
      <c r="D339" t="s">
        <v>43</v>
      </c>
      <c r="E339">
        <v>415</v>
      </c>
      <c r="F339" t="s">
        <v>17</v>
      </c>
      <c r="G339">
        <v>38</v>
      </c>
      <c r="H339">
        <v>33</v>
      </c>
      <c r="I339" t="str">
        <f>_xlfn.XLOOKUP($C339,dim_campaigns!$D$2:$D$3,dim_campaigns!$A$2:$A$3,"",0)</f>
        <v>Diwali</v>
      </c>
      <c r="J339" s="6">
        <f t="shared" si="10"/>
        <v>-0.13157894736842105</v>
      </c>
      <c r="K339">
        <f t="shared" si="11"/>
        <v>26041.25</v>
      </c>
      <c r="L339" t="str">
        <f>VLOOKUP($B339,dim_stores!$A$1:$C$51,2,0)</f>
        <v>Mangalore</v>
      </c>
    </row>
    <row r="340" spans="1:12" x14ac:dyDescent="0.3">
      <c r="A340" t="s">
        <v>391</v>
      </c>
      <c r="B340" t="s">
        <v>52</v>
      </c>
      <c r="C340" t="s">
        <v>10</v>
      </c>
      <c r="D340" t="s">
        <v>11</v>
      </c>
      <c r="E340">
        <v>190</v>
      </c>
      <c r="F340" t="s">
        <v>12</v>
      </c>
      <c r="G340">
        <v>40</v>
      </c>
      <c r="H340">
        <v>57</v>
      </c>
      <c r="I340" t="str">
        <f>_xlfn.XLOOKUP($C340,dim_campaigns!$D$2:$D$3,dim_campaigns!$A$2:$A$3,"",0)</f>
        <v>Sankranti</v>
      </c>
      <c r="J340" s="6">
        <f t="shared" si="10"/>
        <v>0.42499999999999999</v>
      </c>
      <c r="K340">
        <f t="shared" si="11"/>
        <v>13015</v>
      </c>
      <c r="L340" t="str">
        <f>VLOOKUP($B340,dim_stores!$A$1:$C$51,2,0)</f>
        <v>Visakhapatnam</v>
      </c>
    </row>
    <row r="341" spans="1:12" x14ac:dyDescent="0.3">
      <c r="A341" t="s">
        <v>392</v>
      </c>
      <c r="B341" t="s">
        <v>212</v>
      </c>
      <c r="C341" t="s">
        <v>10</v>
      </c>
      <c r="D341" t="s">
        <v>61</v>
      </c>
      <c r="E341">
        <v>172</v>
      </c>
      <c r="F341" t="s">
        <v>54</v>
      </c>
      <c r="G341">
        <v>341</v>
      </c>
      <c r="H341">
        <v>531</v>
      </c>
      <c r="I341" t="str">
        <f>_xlfn.XLOOKUP($C341,dim_campaigns!$D$2:$D$3,dim_campaigns!$A$2:$A$3,"",0)</f>
        <v>Sankranti</v>
      </c>
      <c r="J341" s="6">
        <f t="shared" si="10"/>
        <v>0.55718475073313778</v>
      </c>
      <c r="K341">
        <f t="shared" si="11"/>
        <v>119844.44</v>
      </c>
      <c r="L341" t="str">
        <f>VLOOKUP($B341,dim_stores!$A$1:$C$51,2,0)</f>
        <v>Bengaluru</v>
      </c>
    </row>
    <row r="342" spans="1:12" x14ac:dyDescent="0.3">
      <c r="A342" t="s">
        <v>393</v>
      </c>
      <c r="B342" t="s">
        <v>50</v>
      </c>
      <c r="C342" t="s">
        <v>15</v>
      </c>
      <c r="D342" t="s">
        <v>20</v>
      </c>
      <c r="E342">
        <v>300</v>
      </c>
      <c r="F342" t="s">
        <v>21</v>
      </c>
      <c r="G342">
        <v>70</v>
      </c>
      <c r="H342">
        <v>231</v>
      </c>
      <c r="I342" t="str">
        <f>_xlfn.XLOOKUP($C342,dim_campaigns!$D$2:$D$3,dim_campaigns!$A$2:$A$3,"",0)</f>
        <v>Diwali</v>
      </c>
      <c r="J342" s="6">
        <f t="shared" si="10"/>
        <v>2.2999999999999998</v>
      </c>
      <c r="K342">
        <f t="shared" si="11"/>
        <v>55650</v>
      </c>
      <c r="L342" t="str">
        <f>VLOOKUP($B342,dim_stores!$A$1:$C$51,2,0)</f>
        <v>Bengaluru</v>
      </c>
    </row>
    <row r="343" spans="1:12" x14ac:dyDescent="0.3">
      <c r="A343" t="s">
        <v>394</v>
      </c>
      <c r="B343" t="s">
        <v>19</v>
      </c>
      <c r="C343" t="s">
        <v>15</v>
      </c>
      <c r="D343" t="s">
        <v>48</v>
      </c>
      <c r="E343">
        <v>62</v>
      </c>
      <c r="F343" t="s">
        <v>12</v>
      </c>
      <c r="G343">
        <v>68</v>
      </c>
      <c r="H343">
        <v>90</v>
      </c>
      <c r="I343" t="str">
        <f>_xlfn.XLOOKUP($C343,dim_campaigns!$D$2:$D$3,dim_campaigns!$A$2:$A$3,"",0)</f>
        <v>Diwali</v>
      </c>
      <c r="J343" s="6">
        <f t="shared" si="10"/>
        <v>0.3235294117647059</v>
      </c>
      <c r="K343">
        <f t="shared" si="11"/>
        <v>7006</v>
      </c>
      <c r="L343" t="str">
        <f>VLOOKUP($B343,dim_stores!$A$1:$C$51,2,0)</f>
        <v>Vijayawada</v>
      </c>
    </row>
    <row r="344" spans="1:12" x14ac:dyDescent="0.3">
      <c r="A344" t="s">
        <v>395</v>
      </c>
      <c r="B344" t="s">
        <v>40</v>
      </c>
      <c r="C344" t="s">
        <v>10</v>
      </c>
      <c r="D344" t="s">
        <v>43</v>
      </c>
      <c r="E344">
        <v>415</v>
      </c>
      <c r="F344" t="s">
        <v>17</v>
      </c>
      <c r="G344">
        <v>19</v>
      </c>
      <c r="H344">
        <v>15</v>
      </c>
      <c r="I344" t="str">
        <f>_xlfn.XLOOKUP($C344,dim_campaigns!$D$2:$D$3,dim_campaigns!$A$2:$A$3,"",0)</f>
        <v>Sankranti</v>
      </c>
      <c r="J344" s="6">
        <f t="shared" si="10"/>
        <v>-0.21052631578947367</v>
      </c>
      <c r="K344">
        <f t="shared" si="11"/>
        <v>12553.75</v>
      </c>
      <c r="L344" t="str">
        <f>VLOOKUP($B344,dim_stores!$A$1:$C$51,2,0)</f>
        <v>Madurai</v>
      </c>
    </row>
    <row r="345" spans="1:12" x14ac:dyDescent="0.3">
      <c r="A345" t="s">
        <v>396</v>
      </c>
      <c r="B345" t="s">
        <v>47</v>
      </c>
      <c r="C345" t="s">
        <v>15</v>
      </c>
      <c r="D345" t="s">
        <v>61</v>
      </c>
      <c r="E345">
        <v>172</v>
      </c>
      <c r="F345" t="s">
        <v>54</v>
      </c>
      <c r="G345">
        <v>309</v>
      </c>
      <c r="H345">
        <v>460</v>
      </c>
      <c r="I345" t="str">
        <f>_xlfn.XLOOKUP($C345,dim_campaigns!$D$2:$D$3,dim_campaigns!$A$2:$A$3,"",0)</f>
        <v>Diwali</v>
      </c>
      <c r="J345" s="6">
        <f t="shared" si="10"/>
        <v>0.48867313915857608</v>
      </c>
      <c r="K345">
        <f t="shared" si="11"/>
        <v>106158.39999999999</v>
      </c>
      <c r="L345" t="str">
        <f>VLOOKUP($B345,dim_stores!$A$1:$C$51,2,0)</f>
        <v>Chennai</v>
      </c>
    </row>
    <row r="346" spans="1:12" x14ac:dyDescent="0.3">
      <c r="A346" t="s">
        <v>397</v>
      </c>
      <c r="B346" t="s">
        <v>52</v>
      </c>
      <c r="C346" t="s">
        <v>10</v>
      </c>
      <c r="D346" t="s">
        <v>61</v>
      </c>
      <c r="E346">
        <v>172</v>
      </c>
      <c r="F346" t="s">
        <v>54</v>
      </c>
      <c r="G346">
        <v>223</v>
      </c>
      <c r="H346">
        <v>301</v>
      </c>
      <c r="I346" t="str">
        <f>_xlfn.XLOOKUP($C346,dim_campaigns!$D$2:$D$3,dim_campaigns!$A$2:$A$3,"",0)</f>
        <v>Sankranti</v>
      </c>
      <c r="J346" s="6">
        <f t="shared" si="10"/>
        <v>0.34977578475336324</v>
      </c>
      <c r="K346">
        <f t="shared" si="11"/>
        <v>73043.239999999991</v>
      </c>
      <c r="L346" t="str">
        <f>VLOOKUP($B346,dim_stores!$A$1:$C$51,2,0)</f>
        <v>Visakhapatnam</v>
      </c>
    </row>
    <row r="347" spans="1:12" x14ac:dyDescent="0.3">
      <c r="A347" t="s">
        <v>398</v>
      </c>
      <c r="B347" t="s">
        <v>193</v>
      </c>
      <c r="C347" t="s">
        <v>10</v>
      </c>
      <c r="D347" t="s">
        <v>53</v>
      </c>
      <c r="E347">
        <v>860</v>
      </c>
      <c r="F347" t="s">
        <v>54</v>
      </c>
      <c r="G347">
        <v>477</v>
      </c>
      <c r="H347">
        <v>658</v>
      </c>
      <c r="I347" t="str">
        <f>_xlfn.XLOOKUP($C347,dim_campaigns!$D$2:$D$3,dim_campaigns!$A$2:$A$3,"",0)</f>
        <v>Sankranti</v>
      </c>
      <c r="J347" s="6">
        <f t="shared" si="10"/>
        <v>0.37945492662473795</v>
      </c>
      <c r="K347">
        <f t="shared" si="11"/>
        <v>789359.60000000009</v>
      </c>
      <c r="L347" t="str">
        <f>VLOOKUP($B347,dim_stores!$A$1:$C$51,2,0)</f>
        <v>Bengaluru</v>
      </c>
    </row>
    <row r="348" spans="1:12" x14ac:dyDescent="0.3">
      <c r="A348" t="s">
        <v>399</v>
      </c>
      <c r="B348" t="s">
        <v>47</v>
      </c>
      <c r="C348" t="s">
        <v>15</v>
      </c>
      <c r="D348" t="s">
        <v>28</v>
      </c>
      <c r="E348">
        <v>55</v>
      </c>
      <c r="F348" t="s">
        <v>17</v>
      </c>
      <c r="G348">
        <v>112</v>
      </c>
      <c r="H348">
        <v>85</v>
      </c>
      <c r="I348" t="str">
        <f>_xlfn.XLOOKUP($C348,dim_campaigns!$D$2:$D$3,dim_campaigns!$A$2:$A$3,"",0)</f>
        <v>Diwali</v>
      </c>
      <c r="J348" s="6">
        <f t="shared" si="10"/>
        <v>-0.24107142857142858</v>
      </c>
      <c r="K348">
        <f t="shared" si="11"/>
        <v>9666.25</v>
      </c>
      <c r="L348" t="str">
        <f>VLOOKUP($B348,dim_stores!$A$1:$C$51,2,0)</f>
        <v>Chennai</v>
      </c>
    </row>
    <row r="349" spans="1:12" x14ac:dyDescent="0.3">
      <c r="A349" t="s">
        <v>400</v>
      </c>
      <c r="B349" t="s">
        <v>40</v>
      </c>
      <c r="C349" t="s">
        <v>15</v>
      </c>
      <c r="D349" t="s">
        <v>68</v>
      </c>
      <c r="E349">
        <v>1020</v>
      </c>
      <c r="F349" t="s">
        <v>21</v>
      </c>
      <c r="G349">
        <v>28</v>
      </c>
      <c r="H349">
        <v>96</v>
      </c>
      <c r="I349" t="str">
        <f>_xlfn.XLOOKUP($C349,dim_campaigns!$D$2:$D$3,dim_campaigns!$A$2:$A$3,"",0)</f>
        <v>Diwali</v>
      </c>
      <c r="J349" s="6">
        <f t="shared" si="10"/>
        <v>2.4285714285714284</v>
      </c>
      <c r="K349">
        <f t="shared" si="11"/>
        <v>77520</v>
      </c>
      <c r="L349" t="str">
        <f>VLOOKUP($B349,dim_stores!$A$1:$C$51,2,0)</f>
        <v>Madurai</v>
      </c>
    </row>
    <row r="350" spans="1:12" x14ac:dyDescent="0.3">
      <c r="A350" t="s">
        <v>401</v>
      </c>
      <c r="B350" t="s">
        <v>37</v>
      </c>
      <c r="C350" t="s">
        <v>15</v>
      </c>
      <c r="D350" t="s">
        <v>20</v>
      </c>
      <c r="E350">
        <v>300</v>
      </c>
      <c r="F350" t="s">
        <v>21</v>
      </c>
      <c r="G350">
        <v>42</v>
      </c>
      <c r="H350">
        <v>130</v>
      </c>
      <c r="I350" t="str">
        <f>_xlfn.XLOOKUP($C350,dim_campaigns!$D$2:$D$3,dim_campaigns!$A$2:$A$3,"",0)</f>
        <v>Diwali</v>
      </c>
      <c r="J350" s="6">
        <f t="shared" si="10"/>
        <v>2.0952380952380953</v>
      </c>
      <c r="K350">
        <f t="shared" si="11"/>
        <v>32100</v>
      </c>
      <c r="L350" t="str">
        <f>VLOOKUP($B350,dim_stores!$A$1:$C$51,2,0)</f>
        <v>Coimbatore</v>
      </c>
    </row>
    <row r="351" spans="1:12" x14ac:dyDescent="0.3">
      <c r="A351" t="s">
        <v>402</v>
      </c>
      <c r="B351" t="s">
        <v>31</v>
      </c>
      <c r="C351" t="s">
        <v>10</v>
      </c>
      <c r="D351" t="s">
        <v>11</v>
      </c>
      <c r="E351">
        <v>190</v>
      </c>
      <c r="F351" t="s">
        <v>12</v>
      </c>
      <c r="G351">
        <v>25</v>
      </c>
      <c r="H351">
        <v>37</v>
      </c>
      <c r="I351" t="str">
        <f>_xlfn.XLOOKUP($C351,dim_campaigns!$D$2:$D$3,dim_campaigns!$A$2:$A$3,"",0)</f>
        <v>Sankranti</v>
      </c>
      <c r="J351" s="6">
        <f t="shared" si="10"/>
        <v>0.48</v>
      </c>
      <c r="K351">
        <f t="shared" si="11"/>
        <v>8265</v>
      </c>
      <c r="L351" t="str">
        <f>VLOOKUP($B351,dim_stores!$A$1:$C$51,2,0)</f>
        <v>Visakhapatnam</v>
      </c>
    </row>
    <row r="352" spans="1:12" x14ac:dyDescent="0.3">
      <c r="A352" t="s">
        <v>403</v>
      </c>
      <c r="B352" t="s">
        <v>27</v>
      </c>
      <c r="C352" t="s">
        <v>10</v>
      </c>
      <c r="D352" t="s">
        <v>35</v>
      </c>
      <c r="E352">
        <v>350</v>
      </c>
      <c r="F352" t="s">
        <v>21</v>
      </c>
      <c r="G352">
        <v>120</v>
      </c>
      <c r="H352">
        <v>516</v>
      </c>
      <c r="I352" t="str">
        <f>_xlfn.XLOOKUP($C352,dim_campaigns!$D$2:$D$3,dim_campaigns!$A$2:$A$3,"",0)</f>
        <v>Sankranti</v>
      </c>
      <c r="J352" s="6">
        <f t="shared" si="10"/>
        <v>3.3</v>
      </c>
      <c r="K352">
        <f t="shared" si="11"/>
        <v>132300</v>
      </c>
      <c r="L352" t="str">
        <f>VLOOKUP($B352,dim_stores!$A$1:$C$51,2,0)</f>
        <v>Bengaluru</v>
      </c>
    </row>
    <row r="353" spans="1:12" x14ac:dyDescent="0.3">
      <c r="A353" t="s">
        <v>404</v>
      </c>
      <c r="B353" t="s">
        <v>103</v>
      </c>
      <c r="C353" t="s">
        <v>15</v>
      </c>
      <c r="D353" t="s">
        <v>61</v>
      </c>
      <c r="E353">
        <v>172</v>
      </c>
      <c r="F353" t="s">
        <v>54</v>
      </c>
      <c r="G353">
        <v>311</v>
      </c>
      <c r="H353">
        <v>385</v>
      </c>
      <c r="I353" t="str">
        <f>_xlfn.XLOOKUP($C353,dim_campaigns!$D$2:$D$3,dim_campaigns!$A$2:$A$3,"",0)</f>
        <v>Diwali</v>
      </c>
      <c r="J353" s="6">
        <f t="shared" si="10"/>
        <v>0.23794212218649519</v>
      </c>
      <c r="K353">
        <f t="shared" si="11"/>
        <v>97859.4</v>
      </c>
      <c r="L353" t="str">
        <f>VLOOKUP($B353,dim_stores!$A$1:$C$51,2,0)</f>
        <v>Hyderabad</v>
      </c>
    </row>
    <row r="354" spans="1:12" x14ac:dyDescent="0.3">
      <c r="A354" t="s">
        <v>405</v>
      </c>
      <c r="B354" t="s">
        <v>190</v>
      </c>
      <c r="C354" t="s">
        <v>15</v>
      </c>
      <c r="D354" t="s">
        <v>24</v>
      </c>
      <c r="E354">
        <v>3000</v>
      </c>
      <c r="F354" t="s">
        <v>25</v>
      </c>
      <c r="G354">
        <v>250</v>
      </c>
      <c r="H354">
        <v>755</v>
      </c>
      <c r="I354" t="str">
        <f>_xlfn.XLOOKUP($C354,dim_campaigns!$D$2:$D$3,dim_campaigns!$A$2:$A$3,"",0)</f>
        <v>Diwali</v>
      </c>
      <c r="J354" s="6">
        <f t="shared" si="10"/>
        <v>2.02</v>
      </c>
      <c r="K354">
        <f t="shared" si="11"/>
        <v>2637500</v>
      </c>
      <c r="L354" t="str">
        <f>VLOOKUP($B354,dim_stores!$A$1:$C$51,2,0)</f>
        <v>Visakhapatnam</v>
      </c>
    </row>
    <row r="355" spans="1:12" x14ac:dyDescent="0.3">
      <c r="A355" t="s">
        <v>406</v>
      </c>
      <c r="B355" t="s">
        <v>126</v>
      </c>
      <c r="C355" t="s">
        <v>15</v>
      </c>
      <c r="D355" t="s">
        <v>68</v>
      </c>
      <c r="E355">
        <v>1020</v>
      </c>
      <c r="F355" t="s">
        <v>21</v>
      </c>
      <c r="G355">
        <v>22</v>
      </c>
      <c r="H355">
        <v>69</v>
      </c>
      <c r="I355" t="str">
        <f>_xlfn.XLOOKUP($C355,dim_campaigns!$D$2:$D$3,dim_campaigns!$A$2:$A$3,"",0)</f>
        <v>Diwali</v>
      </c>
      <c r="J355" s="6">
        <f t="shared" si="10"/>
        <v>2.1363636363636362</v>
      </c>
      <c r="K355">
        <f t="shared" si="11"/>
        <v>57630</v>
      </c>
      <c r="L355" t="str">
        <f>VLOOKUP($B355,dim_stores!$A$1:$C$51,2,0)</f>
        <v>Mangalore</v>
      </c>
    </row>
    <row r="356" spans="1:12" x14ac:dyDescent="0.3">
      <c r="A356" t="s">
        <v>407</v>
      </c>
      <c r="B356" t="s">
        <v>115</v>
      </c>
      <c r="C356" t="s">
        <v>15</v>
      </c>
      <c r="D356" t="s">
        <v>20</v>
      </c>
      <c r="E356">
        <v>300</v>
      </c>
      <c r="F356" t="s">
        <v>21</v>
      </c>
      <c r="G356">
        <v>63</v>
      </c>
      <c r="H356">
        <v>213</v>
      </c>
      <c r="I356" t="str">
        <f>_xlfn.XLOOKUP($C356,dim_campaigns!$D$2:$D$3,dim_campaigns!$A$2:$A$3,"",0)</f>
        <v>Diwali</v>
      </c>
      <c r="J356" s="6">
        <f t="shared" si="10"/>
        <v>2.3809523809523809</v>
      </c>
      <c r="K356">
        <f t="shared" si="11"/>
        <v>50850</v>
      </c>
      <c r="L356" t="str">
        <f>VLOOKUP($B356,dim_stores!$A$1:$C$51,2,0)</f>
        <v>Bengaluru</v>
      </c>
    </row>
    <row r="357" spans="1:12" x14ac:dyDescent="0.3">
      <c r="A357" t="s">
        <v>408</v>
      </c>
      <c r="B357" t="s">
        <v>113</v>
      </c>
      <c r="C357" t="s">
        <v>10</v>
      </c>
      <c r="D357" t="s">
        <v>61</v>
      </c>
      <c r="E357">
        <v>172</v>
      </c>
      <c r="F357" t="s">
        <v>54</v>
      </c>
      <c r="G357">
        <v>270</v>
      </c>
      <c r="H357">
        <v>340</v>
      </c>
      <c r="I357" t="str">
        <f>_xlfn.XLOOKUP($C357,dim_campaigns!$D$2:$D$3,dim_campaigns!$A$2:$A$3,"",0)</f>
        <v>Sankranti</v>
      </c>
      <c r="J357" s="6">
        <f t="shared" si="10"/>
        <v>0.25925925925925924</v>
      </c>
      <c r="K357">
        <f t="shared" si="11"/>
        <v>85621.6</v>
      </c>
      <c r="L357" t="str">
        <f>VLOOKUP($B357,dim_stores!$A$1:$C$51,2,0)</f>
        <v>Chennai</v>
      </c>
    </row>
    <row r="358" spans="1:12" x14ac:dyDescent="0.3">
      <c r="A358" t="s">
        <v>409</v>
      </c>
      <c r="B358" t="s">
        <v>137</v>
      </c>
      <c r="C358" t="s">
        <v>10</v>
      </c>
      <c r="D358" t="s">
        <v>43</v>
      </c>
      <c r="E358">
        <v>415</v>
      </c>
      <c r="F358" t="s">
        <v>17</v>
      </c>
      <c r="G358">
        <v>15</v>
      </c>
      <c r="H358">
        <v>12</v>
      </c>
      <c r="I358" t="str">
        <f>_xlfn.XLOOKUP($C358,dim_campaigns!$D$2:$D$3,dim_campaigns!$A$2:$A$3,"",0)</f>
        <v>Sankranti</v>
      </c>
      <c r="J358" s="6">
        <f t="shared" si="10"/>
        <v>-0.2</v>
      </c>
      <c r="K358">
        <f t="shared" si="11"/>
        <v>9960</v>
      </c>
      <c r="L358" t="str">
        <f>VLOOKUP($B358,dim_stores!$A$1:$C$51,2,0)</f>
        <v>Mangalore</v>
      </c>
    </row>
    <row r="359" spans="1:12" x14ac:dyDescent="0.3">
      <c r="A359" t="s">
        <v>410</v>
      </c>
      <c r="B359" t="s">
        <v>137</v>
      </c>
      <c r="C359" t="s">
        <v>10</v>
      </c>
      <c r="D359" t="s">
        <v>16</v>
      </c>
      <c r="E359">
        <v>200</v>
      </c>
      <c r="F359" t="s">
        <v>21</v>
      </c>
      <c r="G359">
        <v>190</v>
      </c>
      <c r="H359">
        <v>752</v>
      </c>
      <c r="I359" t="str">
        <f>_xlfn.XLOOKUP($C359,dim_campaigns!$D$2:$D$3,dim_campaigns!$A$2:$A$3,"",0)</f>
        <v>Sankranti</v>
      </c>
      <c r="J359" s="6">
        <f t="shared" si="10"/>
        <v>2.9578947368421051</v>
      </c>
      <c r="K359">
        <f t="shared" si="11"/>
        <v>113200</v>
      </c>
      <c r="L359" t="str">
        <f>VLOOKUP($B359,dim_stores!$A$1:$C$51,2,0)</f>
        <v>Mangalore</v>
      </c>
    </row>
    <row r="360" spans="1:12" x14ac:dyDescent="0.3">
      <c r="A360" t="s">
        <v>411</v>
      </c>
      <c r="B360" t="s">
        <v>78</v>
      </c>
      <c r="C360" t="s">
        <v>15</v>
      </c>
      <c r="D360" t="s">
        <v>32</v>
      </c>
      <c r="E360">
        <v>65</v>
      </c>
      <c r="F360" t="s">
        <v>12</v>
      </c>
      <c r="G360">
        <v>129</v>
      </c>
      <c r="H360">
        <v>167</v>
      </c>
      <c r="I360" t="str">
        <f>_xlfn.XLOOKUP($C360,dim_campaigns!$D$2:$D$3,dim_campaigns!$A$2:$A$3,"",0)</f>
        <v>Diwali</v>
      </c>
      <c r="J360" s="6">
        <f t="shared" si="10"/>
        <v>0.29457364341085274</v>
      </c>
      <c r="K360">
        <f t="shared" si="11"/>
        <v>13812.5</v>
      </c>
      <c r="L360" t="str">
        <f>VLOOKUP($B360,dim_stores!$A$1:$C$51,2,0)</f>
        <v>Mysuru</v>
      </c>
    </row>
    <row r="361" spans="1:12" x14ac:dyDescent="0.3">
      <c r="A361" t="s">
        <v>412</v>
      </c>
      <c r="B361" t="s">
        <v>95</v>
      </c>
      <c r="C361" t="s">
        <v>15</v>
      </c>
      <c r="D361" t="s">
        <v>11</v>
      </c>
      <c r="E361">
        <v>190</v>
      </c>
      <c r="F361" t="s">
        <v>12</v>
      </c>
      <c r="G361">
        <v>91</v>
      </c>
      <c r="H361">
        <v>116</v>
      </c>
      <c r="I361" t="str">
        <f>_xlfn.XLOOKUP($C361,dim_campaigns!$D$2:$D$3,dim_campaigns!$A$2:$A$3,"",0)</f>
        <v>Diwali</v>
      </c>
      <c r="J361" s="6">
        <f t="shared" si="10"/>
        <v>0.27472527472527475</v>
      </c>
      <c r="K361">
        <f t="shared" si="11"/>
        <v>28310</v>
      </c>
      <c r="L361" t="str">
        <f>VLOOKUP($B361,dim_stores!$A$1:$C$51,2,0)</f>
        <v>Hyderabad</v>
      </c>
    </row>
    <row r="362" spans="1:12" x14ac:dyDescent="0.3">
      <c r="A362" t="s">
        <v>413</v>
      </c>
      <c r="B362" t="s">
        <v>89</v>
      </c>
      <c r="C362" t="s">
        <v>15</v>
      </c>
      <c r="D362" t="s">
        <v>43</v>
      </c>
      <c r="E362">
        <v>415</v>
      </c>
      <c r="F362" t="s">
        <v>17</v>
      </c>
      <c r="G362">
        <v>49</v>
      </c>
      <c r="H362">
        <v>40</v>
      </c>
      <c r="I362" t="str">
        <f>_xlfn.XLOOKUP($C362,dim_campaigns!$D$2:$D$3,dim_campaigns!$A$2:$A$3,"",0)</f>
        <v>Diwali</v>
      </c>
      <c r="J362" s="6">
        <f t="shared" si="10"/>
        <v>-0.18367346938775511</v>
      </c>
      <c r="K362">
        <f t="shared" si="11"/>
        <v>32785</v>
      </c>
      <c r="L362" t="str">
        <f>VLOOKUP($B362,dim_stores!$A$1:$C$51,2,0)</f>
        <v>Vijayawada</v>
      </c>
    </row>
    <row r="363" spans="1:12" x14ac:dyDescent="0.3">
      <c r="A363" t="s">
        <v>414</v>
      </c>
      <c r="B363" t="s">
        <v>19</v>
      </c>
      <c r="C363" t="s">
        <v>15</v>
      </c>
      <c r="D363" t="s">
        <v>20</v>
      </c>
      <c r="E363">
        <v>300</v>
      </c>
      <c r="F363" t="s">
        <v>21</v>
      </c>
      <c r="G363">
        <v>31</v>
      </c>
      <c r="H363">
        <v>105</v>
      </c>
      <c r="I363" t="str">
        <f>_xlfn.XLOOKUP($C363,dim_campaigns!$D$2:$D$3,dim_campaigns!$A$2:$A$3,"",0)</f>
        <v>Diwali</v>
      </c>
      <c r="J363" s="6">
        <f t="shared" si="10"/>
        <v>2.3870967741935485</v>
      </c>
      <c r="K363">
        <f t="shared" si="11"/>
        <v>25050</v>
      </c>
      <c r="L363" t="str">
        <f>VLOOKUP($B363,dim_stores!$A$1:$C$51,2,0)</f>
        <v>Vijayawada</v>
      </c>
    </row>
    <row r="364" spans="1:12" x14ac:dyDescent="0.3">
      <c r="A364" t="s">
        <v>415</v>
      </c>
      <c r="B364" t="s">
        <v>23</v>
      </c>
      <c r="C364" t="s">
        <v>15</v>
      </c>
      <c r="D364" t="s">
        <v>61</v>
      </c>
      <c r="E364">
        <v>172</v>
      </c>
      <c r="F364" t="s">
        <v>54</v>
      </c>
      <c r="G364">
        <v>182</v>
      </c>
      <c r="H364">
        <v>223</v>
      </c>
      <c r="I364" t="str">
        <f>_xlfn.XLOOKUP($C364,dim_campaigns!$D$2:$D$3,dim_campaigns!$A$2:$A$3,"",0)</f>
        <v>Diwali</v>
      </c>
      <c r="J364" s="6">
        <f t="shared" si="10"/>
        <v>0.22527472527472528</v>
      </c>
      <c r="K364">
        <f t="shared" si="11"/>
        <v>57002.520000000004</v>
      </c>
      <c r="L364" t="str">
        <f>VLOOKUP($B364,dim_stores!$A$1:$C$51,2,0)</f>
        <v>Coimbatore</v>
      </c>
    </row>
    <row r="365" spans="1:12" x14ac:dyDescent="0.3">
      <c r="A365" t="s">
        <v>416</v>
      </c>
      <c r="B365" t="s">
        <v>70</v>
      </c>
      <c r="C365" t="s">
        <v>10</v>
      </c>
      <c r="D365" t="s">
        <v>28</v>
      </c>
      <c r="E365">
        <v>55</v>
      </c>
      <c r="F365" t="s">
        <v>17</v>
      </c>
      <c r="G365">
        <v>28</v>
      </c>
      <c r="H365">
        <v>22</v>
      </c>
      <c r="I365" t="str">
        <f>_xlfn.XLOOKUP($C365,dim_campaigns!$D$2:$D$3,dim_campaigns!$A$2:$A$3,"",0)</f>
        <v>Sankranti</v>
      </c>
      <c r="J365" s="6">
        <f t="shared" si="10"/>
        <v>-0.21428571428571427</v>
      </c>
      <c r="K365">
        <f t="shared" si="11"/>
        <v>2447.5</v>
      </c>
      <c r="L365" t="str">
        <f>VLOOKUP($B365,dim_stores!$A$1:$C$51,2,0)</f>
        <v>Chennai</v>
      </c>
    </row>
    <row r="366" spans="1:12" x14ac:dyDescent="0.3">
      <c r="A366" t="s">
        <v>417</v>
      </c>
      <c r="B366" t="s">
        <v>89</v>
      </c>
      <c r="C366" t="s">
        <v>15</v>
      </c>
      <c r="D366" t="s">
        <v>32</v>
      </c>
      <c r="E366">
        <v>65</v>
      </c>
      <c r="F366" t="s">
        <v>12</v>
      </c>
      <c r="G366">
        <v>71</v>
      </c>
      <c r="H366">
        <v>95</v>
      </c>
      <c r="I366" t="str">
        <f>_xlfn.XLOOKUP($C366,dim_campaigns!$D$2:$D$3,dim_campaigns!$A$2:$A$3,"",0)</f>
        <v>Diwali</v>
      </c>
      <c r="J366" s="6">
        <f t="shared" si="10"/>
        <v>0.3380281690140845</v>
      </c>
      <c r="K366">
        <f t="shared" si="11"/>
        <v>7702.5</v>
      </c>
      <c r="L366" t="str">
        <f>VLOOKUP($B366,dim_stores!$A$1:$C$51,2,0)</f>
        <v>Vijayawada</v>
      </c>
    </row>
    <row r="367" spans="1:12" x14ac:dyDescent="0.3">
      <c r="A367" t="s">
        <v>418</v>
      </c>
      <c r="B367" t="s">
        <v>91</v>
      </c>
      <c r="C367" t="s">
        <v>10</v>
      </c>
      <c r="D367" t="s">
        <v>53</v>
      </c>
      <c r="E367">
        <v>860</v>
      </c>
      <c r="F367" t="s">
        <v>54</v>
      </c>
      <c r="G367">
        <v>595</v>
      </c>
      <c r="H367">
        <v>892</v>
      </c>
      <c r="I367" t="str">
        <f>_xlfn.XLOOKUP($C367,dim_campaigns!$D$2:$D$3,dim_campaigns!$A$2:$A$3,"",0)</f>
        <v>Sankranti</v>
      </c>
      <c r="J367" s="6">
        <f t="shared" si="10"/>
        <v>0.49915966386554622</v>
      </c>
      <c r="K367">
        <f t="shared" si="11"/>
        <v>1025670.4</v>
      </c>
      <c r="L367" t="str">
        <f>VLOOKUP($B367,dim_stores!$A$1:$C$51,2,0)</f>
        <v>Hyderabad</v>
      </c>
    </row>
    <row r="368" spans="1:12" x14ac:dyDescent="0.3">
      <c r="A368" t="s">
        <v>419</v>
      </c>
      <c r="B368" t="s">
        <v>45</v>
      </c>
      <c r="C368" t="s">
        <v>10</v>
      </c>
      <c r="D368" t="s">
        <v>61</v>
      </c>
      <c r="E368">
        <v>172</v>
      </c>
      <c r="F368" t="s">
        <v>54</v>
      </c>
      <c r="G368">
        <v>306</v>
      </c>
      <c r="H368">
        <v>416</v>
      </c>
      <c r="I368" t="str">
        <f>_xlfn.XLOOKUP($C368,dim_campaigns!$D$2:$D$3,dim_campaigns!$A$2:$A$3,"",0)</f>
        <v>Sankranti</v>
      </c>
      <c r="J368" s="6">
        <f t="shared" si="10"/>
        <v>0.35947712418300654</v>
      </c>
      <c r="K368">
        <f t="shared" si="11"/>
        <v>100571.84</v>
      </c>
      <c r="L368" t="str">
        <f>VLOOKUP($B368,dim_stores!$A$1:$C$51,2,0)</f>
        <v>Hyderabad</v>
      </c>
    </row>
    <row r="369" spans="1:12" x14ac:dyDescent="0.3">
      <c r="A369" t="s">
        <v>420</v>
      </c>
      <c r="B369" t="s">
        <v>99</v>
      </c>
      <c r="C369" t="s">
        <v>10</v>
      </c>
      <c r="D369" t="s">
        <v>28</v>
      </c>
      <c r="E369">
        <v>55</v>
      </c>
      <c r="F369" t="s">
        <v>17</v>
      </c>
      <c r="G369">
        <v>19</v>
      </c>
      <c r="H369">
        <v>15</v>
      </c>
      <c r="I369" t="str">
        <f>_xlfn.XLOOKUP($C369,dim_campaigns!$D$2:$D$3,dim_campaigns!$A$2:$A$3,"",0)</f>
        <v>Sankranti</v>
      </c>
      <c r="J369" s="6">
        <f t="shared" si="10"/>
        <v>-0.21052631578947367</v>
      </c>
      <c r="K369">
        <f t="shared" si="11"/>
        <v>1663.75</v>
      </c>
      <c r="L369" t="str">
        <f>VLOOKUP($B369,dim_stores!$A$1:$C$51,2,0)</f>
        <v>Coimbatore</v>
      </c>
    </row>
    <row r="370" spans="1:12" x14ac:dyDescent="0.3">
      <c r="A370" t="s">
        <v>421</v>
      </c>
      <c r="B370" t="s">
        <v>117</v>
      </c>
      <c r="C370" t="s">
        <v>15</v>
      </c>
      <c r="D370" t="s">
        <v>68</v>
      </c>
      <c r="E370">
        <v>1020</v>
      </c>
      <c r="F370" t="s">
        <v>21</v>
      </c>
      <c r="G370">
        <v>24</v>
      </c>
      <c r="H370">
        <v>80</v>
      </c>
      <c r="I370" t="str">
        <f>_xlfn.XLOOKUP($C370,dim_campaigns!$D$2:$D$3,dim_campaigns!$A$2:$A$3,"",0)</f>
        <v>Diwali</v>
      </c>
      <c r="J370" s="6">
        <f t="shared" si="10"/>
        <v>2.3333333333333335</v>
      </c>
      <c r="K370">
        <f t="shared" si="11"/>
        <v>65280</v>
      </c>
      <c r="L370" t="str">
        <f>VLOOKUP($B370,dim_stores!$A$1:$C$51,2,0)</f>
        <v>Mangalore</v>
      </c>
    </row>
    <row r="371" spans="1:12" x14ac:dyDescent="0.3">
      <c r="A371" t="s">
        <v>422</v>
      </c>
      <c r="B371" t="s">
        <v>107</v>
      </c>
      <c r="C371" t="s">
        <v>10</v>
      </c>
      <c r="D371" t="s">
        <v>35</v>
      </c>
      <c r="E371">
        <v>350</v>
      </c>
      <c r="F371" t="s">
        <v>21</v>
      </c>
      <c r="G371">
        <v>82</v>
      </c>
      <c r="H371">
        <v>323</v>
      </c>
      <c r="I371" t="str">
        <f>_xlfn.XLOOKUP($C371,dim_campaigns!$D$2:$D$3,dim_campaigns!$A$2:$A$3,"",0)</f>
        <v>Sankranti</v>
      </c>
      <c r="J371" s="6">
        <f t="shared" si="10"/>
        <v>2.9390243902439024</v>
      </c>
      <c r="K371">
        <f t="shared" si="11"/>
        <v>85225</v>
      </c>
      <c r="L371" t="str">
        <f>VLOOKUP($B371,dim_stores!$A$1:$C$51,2,0)</f>
        <v>Coimbatore</v>
      </c>
    </row>
    <row r="372" spans="1:12" x14ac:dyDescent="0.3">
      <c r="A372" t="s">
        <v>423</v>
      </c>
      <c r="B372" t="s">
        <v>14</v>
      </c>
      <c r="C372" t="s">
        <v>15</v>
      </c>
      <c r="D372" t="s">
        <v>61</v>
      </c>
      <c r="E372">
        <v>172</v>
      </c>
      <c r="F372" t="s">
        <v>54</v>
      </c>
      <c r="G372">
        <v>332</v>
      </c>
      <c r="H372">
        <v>471</v>
      </c>
      <c r="I372" t="str">
        <f>_xlfn.XLOOKUP($C372,dim_campaigns!$D$2:$D$3,dim_campaigns!$A$2:$A$3,"",0)</f>
        <v>Diwali</v>
      </c>
      <c r="J372" s="6">
        <f t="shared" si="10"/>
        <v>0.41867469879518071</v>
      </c>
      <c r="K372">
        <f t="shared" si="11"/>
        <v>111382.04000000001</v>
      </c>
      <c r="L372" t="str">
        <f>VLOOKUP($B372,dim_stores!$A$1:$C$51,2,0)</f>
        <v>Bengaluru</v>
      </c>
    </row>
    <row r="373" spans="1:12" x14ac:dyDescent="0.3">
      <c r="A373" t="s">
        <v>424</v>
      </c>
      <c r="B373" t="s">
        <v>107</v>
      </c>
      <c r="C373" t="s">
        <v>15</v>
      </c>
      <c r="D373" t="s">
        <v>35</v>
      </c>
      <c r="E373">
        <v>350</v>
      </c>
      <c r="F373" t="s">
        <v>21</v>
      </c>
      <c r="G373">
        <v>52</v>
      </c>
      <c r="H373">
        <v>173</v>
      </c>
      <c r="I373" t="str">
        <f>_xlfn.XLOOKUP($C373,dim_campaigns!$D$2:$D$3,dim_campaigns!$A$2:$A$3,"",0)</f>
        <v>Diwali</v>
      </c>
      <c r="J373" s="6">
        <f t="shared" si="10"/>
        <v>2.3269230769230771</v>
      </c>
      <c r="K373">
        <f t="shared" si="11"/>
        <v>48475</v>
      </c>
      <c r="L373" t="str">
        <f>VLOOKUP($B373,dim_stores!$A$1:$C$51,2,0)</f>
        <v>Coimbatore</v>
      </c>
    </row>
    <row r="374" spans="1:12" x14ac:dyDescent="0.3">
      <c r="A374" t="s">
        <v>425</v>
      </c>
      <c r="B374" t="s">
        <v>123</v>
      </c>
      <c r="C374" t="s">
        <v>15</v>
      </c>
      <c r="D374" t="s">
        <v>51</v>
      </c>
      <c r="E374">
        <v>290</v>
      </c>
      <c r="F374" t="s">
        <v>17</v>
      </c>
      <c r="G374">
        <v>302</v>
      </c>
      <c r="H374">
        <v>289</v>
      </c>
      <c r="I374" t="str">
        <f>_xlfn.XLOOKUP($C374,dim_campaigns!$D$2:$D$3,dim_campaigns!$A$2:$A$3,"",0)</f>
        <v>Diwali</v>
      </c>
      <c r="J374" s="6">
        <f t="shared" si="10"/>
        <v>-4.3046357615894038E-2</v>
      </c>
      <c r="K374">
        <f t="shared" si="11"/>
        <v>150437.5</v>
      </c>
      <c r="L374" t="str">
        <f>VLOOKUP($B374,dim_stores!$A$1:$C$51,2,0)</f>
        <v>Bengaluru</v>
      </c>
    </row>
    <row r="375" spans="1:12" x14ac:dyDescent="0.3">
      <c r="A375" t="s">
        <v>426</v>
      </c>
      <c r="B375" t="s">
        <v>9</v>
      </c>
      <c r="C375" t="s">
        <v>10</v>
      </c>
      <c r="D375" t="s">
        <v>43</v>
      </c>
      <c r="E375">
        <v>415</v>
      </c>
      <c r="F375" t="s">
        <v>17</v>
      </c>
      <c r="G375">
        <v>16</v>
      </c>
      <c r="H375">
        <v>13</v>
      </c>
      <c r="I375" t="str">
        <f>_xlfn.XLOOKUP($C375,dim_campaigns!$D$2:$D$3,dim_campaigns!$A$2:$A$3,"",0)</f>
        <v>Sankranti</v>
      </c>
      <c r="J375" s="6">
        <f t="shared" si="10"/>
        <v>-0.1875</v>
      </c>
      <c r="K375">
        <f t="shared" si="11"/>
        <v>10686.25</v>
      </c>
      <c r="L375" t="str">
        <f>VLOOKUP($B375,dim_stores!$A$1:$C$51,2,0)</f>
        <v>Coimbatore</v>
      </c>
    </row>
    <row r="376" spans="1:12" x14ac:dyDescent="0.3">
      <c r="A376" t="s">
        <v>427</v>
      </c>
      <c r="B376" t="s">
        <v>27</v>
      </c>
      <c r="C376" t="s">
        <v>15</v>
      </c>
      <c r="D376" t="s">
        <v>38</v>
      </c>
      <c r="E376">
        <v>1190</v>
      </c>
      <c r="F376" t="s">
        <v>21</v>
      </c>
      <c r="G376">
        <v>52</v>
      </c>
      <c r="H376">
        <v>204</v>
      </c>
      <c r="I376" t="str">
        <f>_xlfn.XLOOKUP($C376,dim_campaigns!$D$2:$D$3,dim_campaigns!$A$2:$A$3,"",0)</f>
        <v>Diwali</v>
      </c>
      <c r="J376" s="6">
        <f t="shared" si="10"/>
        <v>2.9230769230769229</v>
      </c>
      <c r="K376">
        <f t="shared" si="11"/>
        <v>183260</v>
      </c>
      <c r="L376" t="str">
        <f>VLOOKUP($B376,dim_stores!$A$1:$C$51,2,0)</f>
        <v>Bengaluru</v>
      </c>
    </row>
    <row r="377" spans="1:12" x14ac:dyDescent="0.3">
      <c r="A377" t="s">
        <v>428</v>
      </c>
      <c r="B377" t="s">
        <v>193</v>
      </c>
      <c r="C377" t="s">
        <v>15</v>
      </c>
      <c r="D377" t="s">
        <v>48</v>
      </c>
      <c r="E377">
        <v>62</v>
      </c>
      <c r="F377" t="s">
        <v>12</v>
      </c>
      <c r="G377">
        <v>108</v>
      </c>
      <c r="H377">
        <v>145</v>
      </c>
      <c r="I377" t="str">
        <f>_xlfn.XLOOKUP($C377,dim_campaigns!$D$2:$D$3,dim_campaigns!$A$2:$A$3,"",0)</f>
        <v>Diwali</v>
      </c>
      <c r="J377" s="6">
        <f t="shared" si="10"/>
        <v>0.34259259259259262</v>
      </c>
      <c r="K377">
        <f t="shared" si="11"/>
        <v>11191</v>
      </c>
      <c r="L377" t="str">
        <f>VLOOKUP($B377,dim_stores!$A$1:$C$51,2,0)</f>
        <v>Bengaluru</v>
      </c>
    </row>
    <row r="378" spans="1:12" x14ac:dyDescent="0.3">
      <c r="A378" t="s">
        <v>429</v>
      </c>
      <c r="B378" t="s">
        <v>31</v>
      </c>
      <c r="C378" t="s">
        <v>10</v>
      </c>
      <c r="D378" t="s">
        <v>61</v>
      </c>
      <c r="E378">
        <v>172</v>
      </c>
      <c r="F378" t="s">
        <v>54</v>
      </c>
      <c r="G378">
        <v>232</v>
      </c>
      <c r="H378">
        <v>364</v>
      </c>
      <c r="I378" t="str">
        <f>_xlfn.XLOOKUP($C378,dim_campaigns!$D$2:$D$3,dim_campaigns!$A$2:$A$3,"",0)</f>
        <v>Sankranti</v>
      </c>
      <c r="J378" s="6">
        <f t="shared" si="10"/>
        <v>0.56896551724137934</v>
      </c>
      <c r="K378">
        <f t="shared" si="11"/>
        <v>81851.360000000001</v>
      </c>
      <c r="L378" t="str">
        <f>VLOOKUP($B378,dim_stores!$A$1:$C$51,2,0)</f>
        <v>Visakhapatnam</v>
      </c>
    </row>
    <row r="379" spans="1:12" x14ac:dyDescent="0.3">
      <c r="A379" t="s">
        <v>430</v>
      </c>
      <c r="B379" t="s">
        <v>65</v>
      </c>
      <c r="C379" t="s">
        <v>15</v>
      </c>
      <c r="D379" t="s">
        <v>11</v>
      </c>
      <c r="E379">
        <v>190</v>
      </c>
      <c r="F379" t="s">
        <v>12</v>
      </c>
      <c r="G379">
        <v>73</v>
      </c>
      <c r="H379">
        <v>97</v>
      </c>
      <c r="I379" t="str">
        <f>_xlfn.XLOOKUP($C379,dim_campaigns!$D$2:$D$3,dim_campaigns!$A$2:$A$3,"",0)</f>
        <v>Diwali</v>
      </c>
      <c r="J379" s="6">
        <f t="shared" si="10"/>
        <v>0.32876712328767121</v>
      </c>
      <c r="K379">
        <f t="shared" si="11"/>
        <v>23085</v>
      </c>
      <c r="L379" t="str">
        <f>VLOOKUP($B379,dim_stores!$A$1:$C$51,2,0)</f>
        <v>Hyderabad</v>
      </c>
    </row>
    <row r="380" spans="1:12" x14ac:dyDescent="0.3">
      <c r="A380" t="s">
        <v>431</v>
      </c>
      <c r="B380" t="s">
        <v>91</v>
      </c>
      <c r="C380" t="s">
        <v>15</v>
      </c>
      <c r="D380" t="s">
        <v>20</v>
      </c>
      <c r="E380">
        <v>300</v>
      </c>
      <c r="F380" t="s">
        <v>21</v>
      </c>
      <c r="G380">
        <v>54</v>
      </c>
      <c r="H380">
        <v>170</v>
      </c>
      <c r="I380" t="str">
        <f>_xlfn.XLOOKUP($C380,dim_campaigns!$D$2:$D$3,dim_campaigns!$A$2:$A$3,"",0)</f>
        <v>Diwali</v>
      </c>
      <c r="J380" s="6">
        <f t="shared" si="10"/>
        <v>2.1481481481481484</v>
      </c>
      <c r="K380">
        <f t="shared" si="11"/>
        <v>41700</v>
      </c>
      <c r="L380" t="str">
        <f>VLOOKUP($B380,dim_stores!$A$1:$C$51,2,0)</f>
        <v>Hyderabad</v>
      </c>
    </row>
    <row r="381" spans="1:12" x14ac:dyDescent="0.3">
      <c r="A381" t="s">
        <v>432</v>
      </c>
      <c r="B381" t="s">
        <v>115</v>
      </c>
      <c r="C381" t="s">
        <v>15</v>
      </c>
      <c r="D381" t="s">
        <v>48</v>
      </c>
      <c r="E381">
        <v>62</v>
      </c>
      <c r="F381" t="s">
        <v>12</v>
      </c>
      <c r="G381">
        <v>122</v>
      </c>
      <c r="H381">
        <v>163</v>
      </c>
      <c r="I381" t="str">
        <f>_xlfn.XLOOKUP($C381,dim_campaigns!$D$2:$D$3,dim_campaigns!$A$2:$A$3,"",0)</f>
        <v>Diwali</v>
      </c>
      <c r="J381" s="6">
        <f t="shared" si="10"/>
        <v>0.33606557377049179</v>
      </c>
      <c r="K381">
        <f t="shared" si="11"/>
        <v>12617</v>
      </c>
      <c r="L381" t="str">
        <f>VLOOKUP($B381,dim_stores!$A$1:$C$51,2,0)</f>
        <v>Bengaluru</v>
      </c>
    </row>
    <row r="382" spans="1:12" x14ac:dyDescent="0.3">
      <c r="A382" t="s">
        <v>433</v>
      </c>
      <c r="B382" t="s">
        <v>99</v>
      </c>
      <c r="C382" t="s">
        <v>15</v>
      </c>
      <c r="D382" t="s">
        <v>85</v>
      </c>
      <c r="E382">
        <v>110</v>
      </c>
      <c r="F382" t="s">
        <v>12</v>
      </c>
      <c r="G382">
        <v>40</v>
      </c>
      <c r="H382">
        <v>60</v>
      </c>
      <c r="I382" t="str">
        <f>_xlfn.XLOOKUP($C382,dim_campaigns!$D$2:$D$3,dim_campaigns!$A$2:$A$3,"",0)</f>
        <v>Diwali</v>
      </c>
      <c r="J382" s="6">
        <f t="shared" si="10"/>
        <v>0.5</v>
      </c>
      <c r="K382">
        <f t="shared" si="11"/>
        <v>7700</v>
      </c>
      <c r="L382" t="str">
        <f>VLOOKUP($B382,dim_stores!$A$1:$C$51,2,0)</f>
        <v>Coimbatore</v>
      </c>
    </row>
    <row r="383" spans="1:12" x14ac:dyDescent="0.3">
      <c r="A383" t="s">
        <v>434</v>
      </c>
      <c r="B383" t="s">
        <v>110</v>
      </c>
      <c r="C383" t="s">
        <v>10</v>
      </c>
      <c r="D383" t="s">
        <v>24</v>
      </c>
      <c r="E383">
        <v>3000</v>
      </c>
      <c r="F383" t="s">
        <v>25</v>
      </c>
      <c r="G383">
        <v>135</v>
      </c>
      <c r="H383">
        <v>286</v>
      </c>
      <c r="I383" t="str">
        <f>_xlfn.XLOOKUP($C383,dim_campaigns!$D$2:$D$3,dim_campaigns!$A$2:$A$3,"",0)</f>
        <v>Sankranti</v>
      </c>
      <c r="J383" s="6">
        <f t="shared" si="10"/>
        <v>1.1185185185185185</v>
      </c>
      <c r="K383">
        <f t="shared" si="11"/>
        <v>1120000</v>
      </c>
      <c r="L383" t="str">
        <f>VLOOKUP($B383,dim_stores!$A$1:$C$51,2,0)</f>
        <v>Chennai</v>
      </c>
    </row>
    <row r="384" spans="1:12" x14ac:dyDescent="0.3">
      <c r="A384" t="s">
        <v>435</v>
      </c>
      <c r="B384" t="s">
        <v>14</v>
      </c>
      <c r="C384" t="s">
        <v>10</v>
      </c>
      <c r="D384" t="s">
        <v>20</v>
      </c>
      <c r="E384">
        <v>300</v>
      </c>
      <c r="F384" t="s">
        <v>21</v>
      </c>
      <c r="G384">
        <v>51</v>
      </c>
      <c r="H384">
        <v>205</v>
      </c>
      <c r="I384" t="str">
        <f>_xlfn.XLOOKUP($C384,dim_campaigns!$D$2:$D$3,dim_campaigns!$A$2:$A$3,"",0)</f>
        <v>Sankranti</v>
      </c>
      <c r="J384" s="6">
        <f t="shared" si="10"/>
        <v>3.0196078431372548</v>
      </c>
      <c r="K384">
        <f t="shared" si="11"/>
        <v>46050</v>
      </c>
      <c r="L384" t="str">
        <f>VLOOKUP($B384,dim_stores!$A$1:$C$51,2,0)</f>
        <v>Bengaluru</v>
      </c>
    </row>
    <row r="385" spans="1:12" x14ac:dyDescent="0.3">
      <c r="A385" t="s">
        <v>436</v>
      </c>
      <c r="B385" t="s">
        <v>67</v>
      </c>
      <c r="C385" t="s">
        <v>15</v>
      </c>
      <c r="D385" t="s">
        <v>43</v>
      </c>
      <c r="E385">
        <v>415</v>
      </c>
      <c r="F385" t="s">
        <v>17</v>
      </c>
      <c r="G385">
        <v>94</v>
      </c>
      <c r="H385">
        <v>83</v>
      </c>
      <c r="I385" t="str">
        <f>_xlfn.XLOOKUP($C385,dim_campaigns!$D$2:$D$3,dim_campaigns!$A$2:$A$3,"",0)</f>
        <v>Diwali</v>
      </c>
      <c r="J385" s="6">
        <f t="shared" si="10"/>
        <v>-0.11702127659574468</v>
      </c>
      <c r="K385">
        <f t="shared" si="11"/>
        <v>64843.75</v>
      </c>
      <c r="L385" t="str">
        <f>VLOOKUP($B385,dim_stores!$A$1:$C$51,2,0)</f>
        <v>Bengaluru</v>
      </c>
    </row>
    <row r="386" spans="1:12" x14ac:dyDescent="0.3">
      <c r="A386" t="s">
        <v>437</v>
      </c>
      <c r="B386" t="s">
        <v>95</v>
      </c>
      <c r="C386" t="s">
        <v>10</v>
      </c>
      <c r="D386" t="s">
        <v>24</v>
      </c>
      <c r="E386">
        <v>3000</v>
      </c>
      <c r="F386" t="s">
        <v>25</v>
      </c>
      <c r="G386">
        <v>136</v>
      </c>
      <c r="H386">
        <v>288</v>
      </c>
      <c r="I386" t="str">
        <f>_xlfn.XLOOKUP($C386,dim_campaigns!$D$2:$D$3,dim_campaigns!$A$2:$A$3,"",0)</f>
        <v>Sankranti</v>
      </c>
      <c r="J386" s="6">
        <f t="shared" si="10"/>
        <v>1.1176470588235294</v>
      </c>
      <c r="K386">
        <f t="shared" si="11"/>
        <v>1128000</v>
      </c>
      <c r="L386" t="str">
        <f>VLOOKUP($B386,dim_stores!$A$1:$C$51,2,0)</f>
        <v>Hyderabad</v>
      </c>
    </row>
    <row r="387" spans="1:12" x14ac:dyDescent="0.3">
      <c r="A387" t="s">
        <v>438</v>
      </c>
      <c r="B387" t="s">
        <v>56</v>
      </c>
      <c r="C387" t="s">
        <v>10</v>
      </c>
      <c r="D387" t="s">
        <v>53</v>
      </c>
      <c r="E387">
        <v>860</v>
      </c>
      <c r="F387" t="s">
        <v>54</v>
      </c>
      <c r="G387">
        <v>556</v>
      </c>
      <c r="H387">
        <v>711</v>
      </c>
      <c r="I387" t="str">
        <f>_xlfn.XLOOKUP($C387,dim_campaigns!$D$2:$D$3,dim_campaigns!$A$2:$A$3,"",0)</f>
        <v>Sankranti</v>
      </c>
      <c r="J387" s="6">
        <f t="shared" ref="J387:J450" si="12">IFERROR((H387-G387)/G387,0)</f>
        <v>0.27877697841726617</v>
      </c>
      <c r="K387">
        <f t="shared" ref="K387:K450" si="13">E387*G387+(E387-IF(F387="500 Cashback",500,IF(F387="BOGOF",E387*50%,IF(F387="25% OFF",E387*25%,IF(F387="33% OFF",E387*33%,IF(F387="50% OFF",E387*50%,0))))))*H387</f>
        <v>887838.2</v>
      </c>
      <c r="L387" t="str">
        <f>VLOOKUP($B387,dim_stores!$A$1:$C$51,2,0)</f>
        <v>Chennai</v>
      </c>
    </row>
    <row r="388" spans="1:12" x14ac:dyDescent="0.3">
      <c r="A388" t="s">
        <v>439</v>
      </c>
      <c r="B388" t="s">
        <v>99</v>
      </c>
      <c r="C388" t="s">
        <v>15</v>
      </c>
      <c r="D388" t="s">
        <v>48</v>
      </c>
      <c r="E388">
        <v>62</v>
      </c>
      <c r="F388" t="s">
        <v>12</v>
      </c>
      <c r="G388">
        <v>82</v>
      </c>
      <c r="H388">
        <v>126</v>
      </c>
      <c r="I388" t="str">
        <f>_xlfn.XLOOKUP($C388,dim_campaigns!$D$2:$D$3,dim_campaigns!$A$2:$A$3,"",0)</f>
        <v>Diwali</v>
      </c>
      <c r="J388" s="6">
        <f t="shared" si="12"/>
        <v>0.53658536585365857</v>
      </c>
      <c r="K388">
        <f t="shared" si="13"/>
        <v>8990</v>
      </c>
      <c r="L388" t="str">
        <f>VLOOKUP($B388,dim_stores!$A$1:$C$51,2,0)</f>
        <v>Coimbatore</v>
      </c>
    </row>
    <row r="389" spans="1:12" x14ac:dyDescent="0.3">
      <c r="A389" t="s">
        <v>440</v>
      </c>
      <c r="B389" t="s">
        <v>190</v>
      </c>
      <c r="C389" t="s">
        <v>15</v>
      </c>
      <c r="D389" t="s">
        <v>20</v>
      </c>
      <c r="E389">
        <v>300</v>
      </c>
      <c r="F389" t="s">
        <v>21</v>
      </c>
      <c r="G389">
        <v>36</v>
      </c>
      <c r="H389">
        <v>119</v>
      </c>
      <c r="I389" t="str">
        <f>_xlfn.XLOOKUP($C389,dim_campaigns!$D$2:$D$3,dim_campaigns!$A$2:$A$3,"",0)</f>
        <v>Diwali</v>
      </c>
      <c r="J389" s="6">
        <f t="shared" si="12"/>
        <v>2.3055555555555554</v>
      </c>
      <c r="K389">
        <f t="shared" si="13"/>
        <v>28650</v>
      </c>
      <c r="L389" t="str">
        <f>VLOOKUP($B389,dim_stores!$A$1:$C$51,2,0)</f>
        <v>Visakhapatnam</v>
      </c>
    </row>
    <row r="390" spans="1:12" x14ac:dyDescent="0.3">
      <c r="A390">
        <v>114087</v>
      </c>
      <c r="B390" t="s">
        <v>91</v>
      </c>
      <c r="C390" t="s">
        <v>10</v>
      </c>
      <c r="D390" t="s">
        <v>43</v>
      </c>
      <c r="E390">
        <v>415</v>
      </c>
      <c r="F390" t="s">
        <v>17</v>
      </c>
      <c r="G390">
        <v>28</v>
      </c>
      <c r="H390">
        <v>20</v>
      </c>
      <c r="I390" t="str">
        <f>_xlfn.XLOOKUP($C390,dim_campaigns!$D$2:$D$3,dim_campaigns!$A$2:$A$3,"",0)</f>
        <v>Sankranti</v>
      </c>
      <c r="J390" s="6">
        <f t="shared" si="12"/>
        <v>-0.2857142857142857</v>
      </c>
      <c r="K390">
        <f t="shared" si="13"/>
        <v>17845</v>
      </c>
      <c r="L390" t="str">
        <f>VLOOKUP($B390,dim_stores!$A$1:$C$51,2,0)</f>
        <v>Hyderabad</v>
      </c>
    </row>
    <row r="391" spans="1:12" x14ac:dyDescent="0.3">
      <c r="A391" t="s">
        <v>441</v>
      </c>
      <c r="B391" t="s">
        <v>14</v>
      </c>
      <c r="C391" t="s">
        <v>10</v>
      </c>
      <c r="D391" t="s">
        <v>38</v>
      </c>
      <c r="E391">
        <v>1190</v>
      </c>
      <c r="F391" t="s">
        <v>21</v>
      </c>
      <c r="G391">
        <v>42</v>
      </c>
      <c r="H391">
        <v>161</v>
      </c>
      <c r="I391" t="str">
        <f>_xlfn.XLOOKUP($C391,dim_campaigns!$D$2:$D$3,dim_campaigns!$A$2:$A$3,"",0)</f>
        <v>Sankranti</v>
      </c>
      <c r="J391" s="6">
        <f t="shared" si="12"/>
        <v>2.8333333333333335</v>
      </c>
      <c r="K391">
        <f t="shared" si="13"/>
        <v>145775</v>
      </c>
      <c r="L391" t="str">
        <f>VLOOKUP($B391,dim_stores!$A$1:$C$51,2,0)</f>
        <v>Bengaluru</v>
      </c>
    </row>
    <row r="392" spans="1:12" x14ac:dyDescent="0.3">
      <c r="A392" t="s">
        <v>442</v>
      </c>
      <c r="B392" t="s">
        <v>47</v>
      </c>
      <c r="C392" t="s">
        <v>15</v>
      </c>
      <c r="D392" t="s">
        <v>43</v>
      </c>
      <c r="E392">
        <v>415</v>
      </c>
      <c r="F392" t="s">
        <v>17</v>
      </c>
      <c r="G392">
        <v>98</v>
      </c>
      <c r="H392">
        <v>76</v>
      </c>
      <c r="I392" t="str">
        <f>_xlfn.XLOOKUP($C392,dim_campaigns!$D$2:$D$3,dim_campaigns!$A$2:$A$3,"",0)</f>
        <v>Diwali</v>
      </c>
      <c r="J392" s="6">
        <f t="shared" si="12"/>
        <v>-0.22448979591836735</v>
      </c>
      <c r="K392">
        <f t="shared" si="13"/>
        <v>64325</v>
      </c>
      <c r="L392" t="str">
        <f>VLOOKUP($B392,dim_stores!$A$1:$C$51,2,0)</f>
        <v>Chennai</v>
      </c>
    </row>
    <row r="393" spans="1:12" x14ac:dyDescent="0.3">
      <c r="A393" t="s">
        <v>443</v>
      </c>
      <c r="B393" t="s">
        <v>23</v>
      </c>
      <c r="C393" t="s">
        <v>10</v>
      </c>
      <c r="D393" t="s">
        <v>53</v>
      </c>
      <c r="E393">
        <v>860</v>
      </c>
      <c r="F393" t="s">
        <v>54</v>
      </c>
      <c r="G393">
        <v>379</v>
      </c>
      <c r="H393">
        <v>462</v>
      </c>
      <c r="I393" t="str">
        <f>_xlfn.XLOOKUP($C393,dim_campaigns!$D$2:$D$3,dim_campaigns!$A$2:$A$3,"",0)</f>
        <v>Sankranti</v>
      </c>
      <c r="J393" s="6">
        <f t="shared" si="12"/>
        <v>0.21899736147757257</v>
      </c>
      <c r="K393">
        <f t="shared" si="13"/>
        <v>592144.4</v>
      </c>
      <c r="L393" t="str">
        <f>VLOOKUP($B393,dim_stores!$A$1:$C$51,2,0)</f>
        <v>Coimbatore</v>
      </c>
    </row>
    <row r="394" spans="1:12" x14ac:dyDescent="0.3">
      <c r="A394" t="s">
        <v>444</v>
      </c>
      <c r="B394" t="s">
        <v>174</v>
      </c>
      <c r="C394" t="s">
        <v>15</v>
      </c>
      <c r="D394" t="s">
        <v>28</v>
      </c>
      <c r="E394">
        <v>55</v>
      </c>
      <c r="F394" t="s">
        <v>17</v>
      </c>
      <c r="G394">
        <v>57</v>
      </c>
      <c r="H394">
        <v>55</v>
      </c>
      <c r="I394" t="str">
        <f>_xlfn.XLOOKUP($C394,dim_campaigns!$D$2:$D$3,dim_campaigns!$A$2:$A$3,"",0)</f>
        <v>Diwali</v>
      </c>
      <c r="J394" s="6">
        <f t="shared" si="12"/>
        <v>-3.5087719298245612E-2</v>
      </c>
      <c r="K394">
        <f t="shared" si="13"/>
        <v>5403.75</v>
      </c>
      <c r="L394" t="str">
        <f>VLOOKUP($B394,dim_stores!$A$1:$C$51,2,0)</f>
        <v>Trivandrum</v>
      </c>
    </row>
    <row r="395" spans="1:12" x14ac:dyDescent="0.3">
      <c r="A395" t="s">
        <v>445</v>
      </c>
      <c r="B395" t="s">
        <v>137</v>
      </c>
      <c r="C395" t="s">
        <v>10</v>
      </c>
      <c r="D395" t="s">
        <v>53</v>
      </c>
      <c r="E395">
        <v>860</v>
      </c>
      <c r="F395" t="s">
        <v>54</v>
      </c>
      <c r="G395">
        <v>270</v>
      </c>
      <c r="H395">
        <v>313</v>
      </c>
      <c r="I395" t="str">
        <f>_xlfn.XLOOKUP($C395,dim_campaigns!$D$2:$D$3,dim_campaigns!$A$2:$A$3,"",0)</f>
        <v>Sankranti</v>
      </c>
      <c r="J395" s="6">
        <f t="shared" si="12"/>
        <v>0.15925925925925927</v>
      </c>
      <c r="K395">
        <f t="shared" si="13"/>
        <v>412550.6</v>
      </c>
      <c r="L395" t="str">
        <f>VLOOKUP($B395,dim_stores!$A$1:$C$51,2,0)</f>
        <v>Mangalore</v>
      </c>
    </row>
    <row r="396" spans="1:12" x14ac:dyDescent="0.3">
      <c r="A396" t="s">
        <v>446</v>
      </c>
      <c r="B396" t="s">
        <v>119</v>
      </c>
      <c r="C396" t="s">
        <v>10</v>
      </c>
      <c r="D396" t="s">
        <v>53</v>
      </c>
      <c r="E396">
        <v>860</v>
      </c>
      <c r="F396" t="s">
        <v>54</v>
      </c>
      <c r="G396">
        <v>468</v>
      </c>
      <c r="H396">
        <v>636</v>
      </c>
      <c r="I396" t="str">
        <f>_xlfn.XLOOKUP($C396,dim_campaigns!$D$2:$D$3,dim_campaigns!$A$2:$A$3,"",0)</f>
        <v>Sankranti</v>
      </c>
      <c r="J396" s="6">
        <f t="shared" si="12"/>
        <v>0.35897435897435898</v>
      </c>
      <c r="K396">
        <f t="shared" si="13"/>
        <v>768943.2</v>
      </c>
      <c r="L396" t="str">
        <f>VLOOKUP($B396,dim_stores!$A$1:$C$51,2,0)</f>
        <v>Chennai</v>
      </c>
    </row>
    <row r="397" spans="1:12" x14ac:dyDescent="0.3">
      <c r="A397" t="s">
        <v>447</v>
      </c>
      <c r="B397" t="s">
        <v>56</v>
      </c>
      <c r="C397" t="s">
        <v>15</v>
      </c>
      <c r="D397" t="s">
        <v>28</v>
      </c>
      <c r="E397">
        <v>55</v>
      </c>
      <c r="F397" t="s">
        <v>17</v>
      </c>
      <c r="G397">
        <v>91</v>
      </c>
      <c r="H397">
        <v>88</v>
      </c>
      <c r="I397" t="str">
        <f>_xlfn.XLOOKUP($C397,dim_campaigns!$D$2:$D$3,dim_campaigns!$A$2:$A$3,"",0)</f>
        <v>Diwali</v>
      </c>
      <c r="J397" s="6">
        <f t="shared" si="12"/>
        <v>-3.2967032967032968E-2</v>
      </c>
      <c r="K397">
        <f t="shared" si="13"/>
        <v>8635</v>
      </c>
      <c r="L397" t="str">
        <f>VLOOKUP($B397,dim_stores!$A$1:$C$51,2,0)</f>
        <v>Chennai</v>
      </c>
    </row>
    <row r="398" spans="1:12" x14ac:dyDescent="0.3">
      <c r="A398" t="s">
        <v>448</v>
      </c>
      <c r="B398" t="s">
        <v>126</v>
      </c>
      <c r="C398" t="s">
        <v>10</v>
      </c>
      <c r="D398" t="s">
        <v>35</v>
      </c>
      <c r="E398">
        <v>350</v>
      </c>
      <c r="F398" t="s">
        <v>21</v>
      </c>
      <c r="G398">
        <v>63</v>
      </c>
      <c r="H398">
        <v>163</v>
      </c>
      <c r="I398" t="str">
        <f>_xlfn.XLOOKUP($C398,dim_campaigns!$D$2:$D$3,dim_campaigns!$A$2:$A$3,"",0)</f>
        <v>Sankranti</v>
      </c>
      <c r="J398" s="6">
        <f t="shared" si="12"/>
        <v>1.5873015873015872</v>
      </c>
      <c r="K398">
        <f t="shared" si="13"/>
        <v>50575</v>
      </c>
      <c r="L398" t="str">
        <f>VLOOKUP($B398,dim_stores!$A$1:$C$51,2,0)</f>
        <v>Mangalore</v>
      </c>
    </row>
    <row r="399" spans="1:12" x14ac:dyDescent="0.3">
      <c r="A399" t="s">
        <v>449</v>
      </c>
      <c r="B399" t="s">
        <v>103</v>
      </c>
      <c r="C399" t="s">
        <v>10</v>
      </c>
      <c r="D399" t="s">
        <v>85</v>
      </c>
      <c r="E399">
        <v>90</v>
      </c>
      <c r="F399" t="s">
        <v>17</v>
      </c>
      <c r="G399">
        <v>58</v>
      </c>
      <c r="H399">
        <v>47</v>
      </c>
      <c r="I399" t="str">
        <f>_xlfn.XLOOKUP($C399,dim_campaigns!$D$2:$D$3,dim_campaigns!$A$2:$A$3,"",0)</f>
        <v>Sankranti</v>
      </c>
      <c r="J399" s="6">
        <f t="shared" si="12"/>
        <v>-0.18965517241379309</v>
      </c>
      <c r="K399">
        <f t="shared" si="13"/>
        <v>8392.5</v>
      </c>
      <c r="L399" t="str">
        <f>VLOOKUP($B399,dim_stores!$A$1:$C$51,2,0)</f>
        <v>Hyderabad</v>
      </c>
    </row>
    <row r="400" spans="1:12" x14ac:dyDescent="0.3">
      <c r="A400" t="s">
        <v>450</v>
      </c>
      <c r="B400" t="s">
        <v>174</v>
      </c>
      <c r="C400" t="s">
        <v>10</v>
      </c>
      <c r="D400" t="s">
        <v>11</v>
      </c>
      <c r="E400">
        <v>190</v>
      </c>
      <c r="F400" t="s">
        <v>12</v>
      </c>
      <c r="G400">
        <v>24</v>
      </c>
      <c r="H400">
        <v>34</v>
      </c>
      <c r="I400" t="str">
        <f>_xlfn.XLOOKUP($C400,dim_campaigns!$D$2:$D$3,dim_campaigns!$A$2:$A$3,"",0)</f>
        <v>Sankranti</v>
      </c>
      <c r="J400" s="6">
        <f t="shared" si="12"/>
        <v>0.41666666666666669</v>
      </c>
      <c r="K400">
        <f t="shared" si="13"/>
        <v>7790</v>
      </c>
      <c r="L400" t="str">
        <f>VLOOKUP($B400,dim_stores!$A$1:$C$51,2,0)</f>
        <v>Trivandrum</v>
      </c>
    </row>
    <row r="401" spans="1:12" x14ac:dyDescent="0.3">
      <c r="A401" t="s">
        <v>451</v>
      </c>
      <c r="B401" t="s">
        <v>190</v>
      </c>
      <c r="C401" t="s">
        <v>15</v>
      </c>
      <c r="D401" t="s">
        <v>28</v>
      </c>
      <c r="E401">
        <v>55</v>
      </c>
      <c r="F401" t="s">
        <v>17</v>
      </c>
      <c r="G401">
        <v>89</v>
      </c>
      <c r="H401">
        <v>80</v>
      </c>
      <c r="I401" t="str">
        <f>_xlfn.XLOOKUP($C401,dim_campaigns!$D$2:$D$3,dim_campaigns!$A$2:$A$3,"",0)</f>
        <v>Diwali</v>
      </c>
      <c r="J401" s="6">
        <f t="shared" si="12"/>
        <v>-0.10112359550561797</v>
      </c>
      <c r="K401">
        <f t="shared" si="13"/>
        <v>8195</v>
      </c>
      <c r="L401" t="str">
        <f>VLOOKUP($B401,dim_stores!$A$1:$C$51,2,0)</f>
        <v>Visakhapatnam</v>
      </c>
    </row>
    <row r="402" spans="1:12" x14ac:dyDescent="0.3">
      <c r="A402" t="s">
        <v>452</v>
      </c>
      <c r="B402" t="s">
        <v>14</v>
      </c>
      <c r="C402" t="s">
        <v>15</v>
      </c>
      <c r="D402" t="s">
        <v>32</v>
      </c>
      <c r="E402">
        <v>65</v>
      </c>
      <c r="F402" t="s">
        <v>12</v>
      </c>
      <c r="G402">
        <v>133</v>
      </c>
      <c r="H402">
        <v>172</v>
      </c>
      <c r="I402" t="str">
        <f>_xlfn.XLOOKUP($C402,dim_campaigns!$D$2:$D$3,dim_campaigns!$A$2:$A$3,"",0)</f>
        <v>Diwali</v>
      </c>
      <c r="J402" s="6">
        <f t="shared" si="12"/>
        <v>0.2932330827067669</v>
      </c>
      <c r="K402">
        <f t="shared" si="13"/>
        <v>14235</v>
      </c>
      <c r="L402" t="str">
        <f>VLOOKUP($B402,dim_stores!$A$1:$C$51,2,0)</f>
        <v>Bengaluru</v>
      </c>
    </row>
    <row r="403" spans="1:12" x14ac:dyDescent="0.3">
      <c r="A403" t="s">
        <v>453</v>
      </c>
      <c r="B403" t="s">
        <v>34</v>
      </c>
      <c r="C403" t="s">
        <v>10</v>
      </c>
      <c r="D403" t="s">
        <v>61</v>
      </c>
      <c r="E403">
        <v>172</v>
      </c>
      <c r="F403" t="s">
        <v>54</v>
      </c>
      <c r="G403">
        <v>234</v>
      </c>
      <c r="H403">
        <v>322</v>
      </c>
      <c r="I403" t="str">
        <f>_xlfn.XLOOKUP($C403,dim_campaigns!$D$2:$D$3,dim_campaigns!$A$2:$A$3,"",0)</f>
        <v>Sankranti</v>
      </c>
      <c r="J403" s="6">
        <f t="shared" si="12"/>
        <v>0.37606837606837606</v>
      </c>
      <c r="K403">
        <f t="shared" si="13"/>
        <v>77355.28</v>
      </c>
      <c r="L403" t="str">
        <f>VLOOKUP($B403,dim_stores!$A$1:$C$51,2,0)</f>
        <v>Hyderabad</v>
      </c>
    </row>
    <row r="404" spans="1:12" x14ac:dyDescent="0.3">
      <c r="A404" t="s">
        <v>454</v>
      </c>
      <c r="B404" t="s">
        <v>137</v>
      </c>
      <c r="C404" t="s">
        <v>15</v>
      </c>
      <c r="D404" t="s">
        <v>11</v>
      </c>
      <c r="E404">
        <v>190</v>
      </c>
      <c r="F404" t="s">
        <v>12</v>
      </c>
      <c r="G404">
        <v>42</v>
      </c>
      <c r="H404">
        <v>45</v>
      </c>
      <c r="I404" t="str">
        <f>_xlfn.XLOOKUP($C404,dim_campaigns!$D$2:$D$3,dim_campaigns!$A$2:$A$3,"",0)</f>
        <v>Diwali</v>
      </c>
      <c r="J404" s="6">
        <f t="shared" si="12"/>
        <v>7.1428571428571425E-2</v>
      </c>
      <c r="K404">
        <f t="shared" si="13"/>
        <v>12255</v>
      </c>
      <c r="L404" t="str">
        <f>VLOOKUP($B404,dim_stores!$A$1:$C$51,2,0)</f>
        <v>Mangalore</v>
      </c>
    </row>
    <row r="405" spans="1:12" x14ac:dyDescent="0.3">
      <c r="A405">
        <v>861116</v>
      </c>
      <c r="B405" t="s">
        <v>212</v>
      </c>
      <c r="C405" t="s">
        <v>15</v>
      </c>
      <c r="D405" t="s">
        <v>43</v>
      </c>
      <c r="E405">
        <v>415</v>
      </c>
      <c r="F405" t="s">
        <v>17</v>
      </c>
      <c r="G405">
        <v>96</v>
      </c>
      <c r="H405">
        <v>84</v>
      </c>
      <c r="I405" t="str">
        <f>_xlfn.XLOOKUP($C405,dim_campaigns!$D$2:$D$3,dim_campaigns!$A$2:$A$3,"",0)</f>
        <v>Diwali</v>
      </c>
      <c r="J405" s="6">
        <f t="shared" si="12"/>
        <v>-0.125</v>
      </c>
      <c r="K405">
        <f t="shared" si="13"/>
        <v>65985</v>
      </c>
      <c r="L405" t="str">
        <f>VLOOKUP($B405,dim_stores!$A$1:$C$51,2,0)</f>
        <v>Bengaluru</v>
      </c>
    </row>
    <row r="406" spans="1:12" x14ac:dyDescent="0.3">
      <c r="A406" t="s">
        <v>455</v>
      </c>
      <c r="B406" t="s">
        <v>96</v>
      </c>
      <c r="C406" t="s">
        <v>15</v>
      </c>
      <c r="D406" t="s">
        <v>48</v>
      </c>
      <c r="E406">
        <v>62</v>
      </c>
      <c r="F406" t="s">
        <v>12</v>
      </c>
      <c r="G406">
        <v>124</v>
      </c>
      <c r="H406">
        <v>145</v>
      </c>
      <c r="I406" t="str">
        <f>_xlfn.XLOOKUP($C406,dim_campaigns!$D$2:$D$3,dim_campaigns!$A$2:$A$3,"",0)</f>
        <v>Diwali</v>
      </c>
      <c r="J406" s="6">
        <f t="shared" si="12"/>
        <v>0.16935483870967741</v>
      </c>
      <c r="K406">
        <f t="shared" si="13"/>
        <v>12183</v>
      </c>
      <c r="L406" t="str">
        <f>VLOOKUP($B406,dim_stores!$A$1:$C$51,2,0)</f>
        <v>Mysuru</v>
      </c>
    </row>
    <row r="407" spans="1:12" x14ac:dyDescent="0.3">
      <c r="A407" t="s">
        <v>456</v>
      </c>
      <c r="B407" t="s">
        <v>78</v>
      </c>
      <c r="C407" t="s">
        <v>10</v>
      </c>
      <c r="D407" t="s">
        <v>53</v>
      </c>
      <c r="E407">
        <v>860</v>
      </c>
      <c r="F407" t="s">
        <v>54</v>
      </c>
      <c r="G407">
        <v>499</v>
      </c>
      <c r="H407">
        <v>703</v>
      </c>
      <c r="I407" t="str">
        <f>_xlfn.XLOOKUP($C407,dim_campaigns!$D$2:$D$3,dim_campaigns!$A$2:$A$3,"",0)</f>
        <v>Sankranti</v>
      </c>
      <c r="J407" s="6">
        <f t="shared" si="12"/>
        <v>0.4088176352705411</v>
      </c>
      <c r="K407">
        <f t="shared" si="13"/>
        <v>834208.60000000009</v>
      </c>
      <c r="L407" t="str">
        <f>VLOOKUP($B407,dim_stores!$A$1:$C$51,2,0)</f>
        <v>Mysuru</v>
      </c>
    </row>
    <row r="408" spans="1:12" x14ac:dyDescent="0.3">
      <c r="A408" t="s">
        <v>457</v>
      </c>
      <c r="B408" t="s">
        <v>99</v>
      </c>
      <c r="C408" t="s">
        <v>15</v>
      </c>
      <c r="D408" t="s">
        <v>16</v>
      </c>
      <c r="E408">
        <v>156</v>
      </c>
      <c r="F408" t="s">
        <v>17</v>
      </c>
      <c r="G408">
        <v>252</v>
      </c>
      <c r="H408">
        <v>224</v>
      </c>
      <c r="I408" t="str">
        <f>_xlfn.XLOOKUP($C408,dim_campaigns!$D$2:$D$3,dim_campaigns!$A$2:$A$3,"",0)</f>
        <v>Diwali</v>
      </c>
      <c r="J408" s="6">
        <f t="shared" si="12"/>
        <v>-0.1111111111111111</v>
      </c>
      <c r="K408">
        <f t="shared" si="13"/>
        <v>65520</v>
      </c>
      <c r="L408" t="str">
        <f>VLOOKUP($B408,dim_stores!$A$1:$C$51,2,0)</f>
        <v>Coimbatore</v>
      </c>
    </row>
    <row r="409" spans="1:12" x14ac:dyDescent="0.3">
      <c r="A409" t="s">
        <v>458</v>
      </c>
      <c r="B409" t="s">
        <v>93</v>
      </c>
      <c r="C409" t="s">
        <v>15</v>
      </c>
      <c r="D409" t="s">
        <v>51</v>
      </c>
      <c r="E409">
        <v>290</v>
      </c>
      <c r="F409" t="s">
        <v>17</v>
      </c>
      <c r="G409">
        <v>322</v>
      </c>
      <c r="H409">
        <v>276</v>
      </c>
      <c r="I409" t="str">
        <f>_xlfn.XLOOKUP($C409,dim_campaigns!$D$2:$D$3,dim_campaigns!$A$2:$A$3,"",0)</f>
        <v>Diwali</v>
      </c>
      <c r="J409" s="6">
        <f t="shared" si="12"/>
        <v>-0.14285714285714285</v>
      </c>
      <c r="K409">
        <f t="shared" si="13"/>
        <v>153410</v>
      </c>
      <c r="L409" t="str">
        <f>VLOOKUP($B409,dim_stores!$A$1:$C$51,2,0)</f>
        <v>Bengaluru</v>
      </c>
    </row>
    <row r="410" spans="1:12" x14ac:dyDescent="0.3">
      <c r="A410" t="s">
        <v>459</v>
      </c>
      <c r="B410" t="s">
        <v>193</v>
      </c>
      <c r="C410" t="s">
        <v>10</v>
      </c>
      <c r="D410" t="s">
        <v>24</v>
      </c>
      <c r="E410">
        <v>3000</v>
      </c>
      <c r="F410" t="s">
        <v>25</v>
      </c>
      <c r="G410">
        <v>129</v>
      </c>
      <c r="H410">
        <v>279</v>
      </c>
      <c r="I410" t="str">
        <f>_xlfn.XLOOKUP($C410,dim_campaigns!$D$2:$D$3,dim_campaigns!$A$2:$A$3,"",0)</f>
        <v>Sankranti</v>
      </c>
      <c r="J410" s="6">
        <f t="shared" si="12"/>
        <v>1.1627906976744187</v>
      </c>
      <c r="K410">
        <f t="shared" si="13"/>
        <v>1084500</v>
      </c>
      <c r="L410" t="str">
        <f>VLOOKUP($B410,dim_stores!$A$1:$C$51,2,0)</f>
        <v>Bengaluru</v>
      </c>
    </row>
    <row r="411" spans="1:12" x14ac:dyDescent="0.3">
      <c r="A411" t="s">
        <v>460</v>
      </c>
      <c r="B411" t="s">
        <v>14</v>
      </c>
      <c r="C411" t="s">
        <v>10</v>
      </c>
      <c r="D411" t="s">
        <v>85</v>
      </c>
      <c r="E411">
        <v>90</v>
      </c>
      <c r="F411" t="s">
        <v>17</v>
      </c>
      <c r="G411">
        <v>46</v>
      </c>
      <c r="H411">
        <v>33</v>
      </c>
      <c r="I411" t="str">
        <f>_xlfn.XLOOKUP($C411,dim_campaigns!$D$2:$D$3,dim_campaigns!$A$2:$A$3,"",0)</f>
        <v>Sankranti</v>
      </c>
      <c r="J411" s="6">
        <f t="shared" si="12"/>
        <v>-0.28260869565217389</v>
      </c>
      <c r="K411">
        <f t="shared" si="13"/>
        <v>6367.5</v>
      </c>
      <c r="L411" t="str">
        <f>VLOOKUP($B411,dim_stores!$A$1:$C$51,2,0)</f>
        <v>Bengaluru</v>
      </c>
    </row>
    <row r="412" spans="1:12" x14ac:dyDescent="0.3">
      <c r="A412" t="s">
        <v>461</v>
      </c>
      <c r="B412" t="s">
        <v>99</v>
      </c>
      <c r="C412" t="s">
        <v>10</v>
      </c>
      <c r="D412" t="s">
        <v>16</v>
      </c>
      <c r="E412">
        <v>200</v>
      </c>
      <c r="F412" t="s">
        <v>21</v>
      </c>
      <c r="G412">
        <v>228</v>
      </c>
      <c r="H412">
        <v>898</v>
      </c>
      <c r="I412" t="str">
        <f>_xlfn.XLOOKUP($C412,dim_campaigns!$D$2:$D$3,dim_campaigns!$A$2:$A$3,"",0)</f>
        <v>Sankranti</v>
      </c>
      <c r="J412" s="6">
        <f t="shared" si="12"/>
        <v>2.9385964912280702</v>
      </c>
      <c r="K412">
        <f t="shared" si="13"/>
        <v>135400</v>
      </c>
      <c r="L412" t="str">
        <f>VLOOKUP($B412,dim_stores!$A$1:$C$51,2,0)</f>
        <v>Coimbatore</v>
      </c>
    </row>
    <row r="413" spans="1:12" x14ac:dyDescent="0.3">
      <c r="A413" t="s">
        <v>462</v>
      </c>
      <c r="B413" t="s">
        <v>95</v>
      </c>
      <c r="C413" t="s">
        <v>15</v>
      </c>
      <c r="D413" t="s">
        <v>38</v>
      </c>
      <c r="E413">
        <v>1190</v>
      </c>
      <c r="F413" t="s">
        <v>21</v>
      </c>
      <c r="G413">
        <v>52</v>
      </c>
      <c r="H413">
        <v>175</v>
      </c>
      <c r="I413" t="str">
        <f>_xlfn.XLOOKUP($C413,dim_campaigns!$D$2:$D$3,dim_campaigns!$A$2:$A$3,"",0)</f>
        <v>Diwali</v>
      </c>
      <c r="J413" s="6">
        <f t="shared" si="12"/>
        <v>2.3653846153846154</v>
      </c>
      <c r="K413">
        <f t="shared" si="13"/>
        <v>166005</v>
      </c>
      <c r="L413" t="str">
        <f>VLOOKUP($B413,dim_stores!$A$1:$C$51,2,0)</f>
        <v>Hyderabad</v>
      </c>
    </row>
    <row r="414" spans="1:12" x14ac:dyDescent="0.3">
      <c r="A414" t="s">
        <v>463</v>
      </c>
      <c r="B414" t="s">
        <v>161</v>
      </c>
      <c r="C414" t="s">
        <v>10</v>
      </c>
      <c r="D414" t="s">
        <v>53</v>
      </c>
      <c r="E414">
        <v>860</v>
      </c>
      <c r="F414" t="s">
        <v>54</v>
      </c>
      <c r="G414">
        <v>525</v>
      </c>
      <c r="H414">
        <v>756</v>
      </c>
      <c r="I414" t="str">
        <f>_xlfn.XLOOKUP($C414,dim_campaigns!$D$2:$D$3,dim_campaigns!$A$2:$A$3,"",0)</f>
        <v>Sankranti</v>
      </c>
      <c r="J414" s="6">
        <f t="shared" si="12"/>
        <v>0.44</v>
      </c>
      <c r="K414">
        <f t="shared" si="13"/>
        <v>887107.2</v>
      </c>
      <c r="L414" t="str">
        <f>VLOOKUP($B414,dim_stores!$A$1:$C$51,2,0)</f>
        <v>Chennai</v>
      </c>
    </row>
    <row r="415" spans="1:12" x14ac:dyDescent="0.3">
      <c r="A415" t="s">
        <v>464</v>
      </c>
      <c r="B415" t="s">
        <v>31</v>
      </c>
      <c r="C415" t="s">
        <v>15</v>
      </c>
      <c r="D415" t="s">
        <v>11</v>
      </c>
      <c r="E415">
        <v>190</v>
      </c>
      <c r="F415" t="s">
        <v>12</v>
      </c>
      <c r="G415">
        <v>38</v>
      </c>
      <c r="H415">
        <v>58</v>
      </c>
      <c r="I415" t="str">
        <f>_xlfn.XLOOKUP($C415,dim_campaigns!$D$2:$D$3,dim_campaigns!$A$2:$A$3,"",0)</f>
        <v>Diwali</v>
      </c>
      <c r="J415" s="6">
        <f t="shared" si="12"/>
        <v>0.52631578947368418</v>
      </c>
      <c r="K415">
        <f t="shared" si="13"/>
        <v>12730</v>
      </c>
      <c r="L415" t="str">
        <f>VLOOKUP($B415,dim_stores!$A$1:$C$51,2,0)</f>
        <v>Visakhapatnam</v>
      </c>
    </row>
    <row r="416" spans="1:12" x14ac:dyDescent="0.3">
      <c r="A416" t="s">
        <v>465</v>
      </c>
      <c r="B416" t="s">
        <v>65</v>
      </c>
      <c r="C416" t="s">
        <v>15</v>
      </c>
      <c r="D416" t="s">
        <v>85</v>
      </c>
      <c r="E416">
        <v>110</v>
      </c>
      <c r="F416" t="s">
        <v>12</v>
      </c>
      <c r="G416">
        <v>92</v>
      </c>
      <c r="H416">
        <v>124</v>
      </c>
      <c r="I416" t="str">
        <f>_xlfn.XLOOKUP($C416,dim_campaigns!$D$2:$D$3,dim_campaigns!$A$2:$A$3,"",0)</f>
        <v>Diwali</v>
      </c>
      <c r="J416" s="6">
        <f t="shared" si="12"/>
        <v>0.34782608695652173</v>
      </c>
      <c r="K416">
        <f t="shared" si="13"/>
        <v>16940</v>
      </c>
      <c r="L416" t="str">
        <f>VLOOKUP($B416,dim_stores!$A$1:$C$51,2,0)</f>
        <v>Hyderabad</v>
      </c>
    </row>
    <row r="417" spans="1:12" x14ac:dyDescent="0.3">
      <c r="A417" t="s">
        <v>466</v>
      </c>
      <c r="B417" t="s">
        <v>113</v>
      </c>
      <c r="C417" t="s">
        <v>10</v>
      </c>
      <c r="D417" t="s">
        <v>85</v>
      </c>
      <c r="E417">
        <v>90</v>
      </c>
      <c r="F417" t="s">
        <v>17</v>
      </c>
      <c r="G417">
        <v>79</v>
      </c>
      <c r="H417">
        <v>63</v>
      </c>
      <c r="I417" t="str">
        <f>_xlfn.XLOOKUP($C417,dim_campaigns!$D$2:$D$3,dim_campaigns!$A$2:$A$3,"",0)</f>
        <v>Sankranti</v>
      </c>
      <c r="J417" s="6">
        <f t="shared" si="12"/>
        <v>-0.20253164556962025</v>
      </c>
      <c r="K417">
        <f t="shared" si="13"/>
        <v>11362.5</v>
      </c>
      <c r="L417" t="str">
        <f>VLOOKUP($B417,dim_stores!$A$1:$C$51,2,0)</f>
        <v>Chennai</v>
      </c>
    </row>
    <row r="418" spans="1:12" x14ac:dyDescent="0.3">
      <c r="A418" t="s">
        <v>467</v>
      </c>
      <c r="B418" t="s">
        <v>23</v>
      </c>
      <c r="C418" t="s">
        <v>15</v>
      </c>
      <c r="D418" t="s">
        <v>68</v>
      </c>
      <c r="E418">
        <v>1020</v>
      </c>
      <c r="F418" t="s">
        <v>21</v>
      </c>
      <c r="G418">
        <v>40</v>
      </c>
      <c r="H418">
        <v>136</v>
      </c>
      <c r="I418" t="str">
        <f>_xlfn.XLOOKUP($C418,dim_campaigns!$D$2:$D$3,dim_campaigns!$A$2:$A$3,"",0)</f>
        <v>Diwali</v>
      </c>
      <c r="J418" s="6">
        <f t="shared" si="12"/>
        <v>2.4</v>
      </c>
      <c r="K418">
        <f t="shared" si="13"/>
        <v>110160</v>
      </c>
      <c r="L418" t="str">
        <f>VLOOKUP($B418,dim_stores!$A$1:$C$51,2,0)</f>
        <v>Coimbatore</v>
      </c>
    </row>
    <row r="419" spans="1:12" x14ac:dyDescent="0.3">
      <c r="A419" t="s">
        <v>468</v>
      </c>
      <c r="B419" t="s">
        <v>50</v>
      </c>
      <c r="C419" t="s">
        <v>10</v>
      </c>
      <c r="D419" t="s">
        <v>68</v>
      </c>
      <c r="E419">
        <v>1020</v>
      </c>
      <c r="F419" t="s">
        <v>21</v>
      </c>
      <c r="G419">
        <v>91</v>
      </c>
      <c r="H419">
        <v>361</v>
      </c>
      <c r="I419" t="str">
        <f>_xlfn.XLOOKUP($C419,dim_campaigns!$D$2:$D$3,dim_campaigns!$A$2:$A$3,"",0)</f>
        <v>Sankranti</v>
      </c>
      <c r="J419" s="6">
        <f t="shared" si="12"/>
        <v>2.9670329670329672</v>
      </c>
      <c r="K419">
        <f t="shared" si="13"/>
        <v>276930</v>
      </c>
      <c r="L419" t="str">
        <f>VLOOKUP($B419,dim_stores!$A$1:$C$51,2,0)</f>
        <v>Bengaluru</v>
      </c>
    </row>
    <row r="420" spans="1:12" x14ac:dyDescent="0.3">
      <c r="A420" t="s">
        <v>469</v>
      </c>
      <c r="B420" t="s">
        <v>42</v>
      </c>
      <c r="C420" t="s">
        <v>15</v>
      </c>
      <c r="D420" t="s">
        <v>68</v>
      </c>
      <c r="E420">
        <v>1020</v>
      </c>
      <c r="F420" t="s">
        <v>21</v>
      </c>
      <c r="G420">
        <v>43</v>
      </c>
      <c r="H420">
        <v>125</v>
      </c>
      <c r="I420" t="str">
        <f>_xlfn.XLOOKUP($C420,dim_campaigns!$D$2:$D$3,dim_campaigns!$A$2:$A$3,"",0)</f>
        <v>Diwali</v>
      </c>
      <c r="J420" s="6">
        <f t="shared" si="12"/>
        <v>1.9069767441860466</v>
      </c>
      <c r="K420">
        <f t="shared" si="13"/>
        <v>107610</v>
      </c>
      <c r="L420" t="str">
        <f>VLOOKUP($B420,dim_stores!$A$1:$C$51,2,0)</f>
        <v>Mysuru</v>
      </c>
    </row>
    <row r="421" spans="1:12" x14ac:dyDescent="0.3">
      <c r="A421" t="s">
        <v>470</v>
      </c>
      <c r="B421" t="s">
        <v>110</v>
      </c>
      <c r="C421" t="s">
        <v>10</v>
      </c>
      <c r="D421" t="s">
        <v>16</v>
      </c>
      <c r="E421">
        <v>200</v>
      </c>
      <c r="F421" t="s">
        <v>21</v>
      </c>
      <c r="G421">
        <v>294</v>
      </c>
      <c r="H421">
        <v>1134</v>
      </c>
      <c r="I421" t="str">
        <f>_xlfn.XLOOKUP($C421,dim_campaigns!$D$2:$D$3,dim_campaigns!$A$2:$A$3,"",0)</f>
        <v>Sankranti</v>
      </c>
      <c r="J421" s="6">
        <f t="shared" si="12"/>
        <v>2.8571428571428572</v>
      </c>
      <c r="K421">
        <f t="shared" si="13"/>
        <v>172200</v>
      </c>
      <c r="L421" t="str">
        <f>VLOOKUP($B421,dim_stores!$A$1:$C$51,2,0)</f>
        <v>Chennai</v>
      </c>
    </row>
    <row r="422" spans="1:12" x14ac:dyDescent="0.3">
      <c r="A422" t="s">
        <v>471</v>
      </c>
      <c r="B422" t="s">
        <v>117</v>
      </c>
      <c r="C422" t="s">
        <v>10</v>
      </c>
      <c r="D422" t="s">
        <v>43</v>
      </c>
      <c r="E422">
        <v>415</v>
      </c>
      <c r="F422" t="s">
        <v>17</v>
      </c>
      <c r="G422">
        <v>18</v>
      </c>
      <c r="H422">
        <v>14</v>
      </c>
      <c r="I422" t="str">
        <f>_xlfn.XLOOKUP($C422,dim_campaigns!$D$2:$D$3,dim_campaigns!$A$2:$A$3,"",0)</f>
        <v>Sankranti</v>
      </c>
      <c r="J422" s="6">
        <f t="shared" si="12"/>
        <v>-0.22222222222222221</v>
      </c>
      <c r="K422">
        <f t="shared" si="13"/>
        <v>11827.5</v>
      </c>
      <c r="L422" t="str">
        <f>VLOOKUP($B422,dim_stores!$A$1:$C$51,2,0)</f>
        <v>Mangalore</v>
      </c>
    </row>
    <row r="423" spans="1:12" x14ac:dyDescent="0.3">
      <c r="A423" t="s">
        <v>472</v>
      </c>
      <c r="B423" t="s">
        <v>42</v>
      </c>
      <c r="C423" t="s">
        <v>10</v>
      </c>
      <c r="D423" t="s">
        <v>16</v>
      </c>
      <c r="E423">
        <v>200</v>
      </c>
      <c r="F423" t="s">
        <v>21</v>
      </c>
      <c r="G423">
        <v>406</v>
      </c>
      <c r="H423">
        <v>1015</v>
      </c>
      <c r="I423" t="str">
        <f>_xlfn.XLOOKUP($C423,dim_campaigns!$D$2:$D$3,dim_campaigns!$A$2:$A$3,"",0)</f>
        <v>Sankranti</v>
      </c>
      <c r="J423" s="6">
        <f t="shared" si="12"/>
        <v>1.5</v>
      </c>
      <c r="K423">
        <f t="shared" si="13"/>
        <v>182700</v>
      </c>
      <c r="L423" t="str">
        <f>VLOOKUP($B423,dim_stores!$A$1:$C$51,2,0)</f>
        <v>Mysuru</v>
      </c>
    </row>
    <row r="424" spans="1:12" x14ac:dyDescent="0.3">
      <c r="A424" t="s">
        <v>473</v>
      </c>
      <c r="B424" t="s">
        <v>139</v>
      </c>
      <c r="C424" t="s">
        <v>15</v>
      </c>
      <c r="D424" t="s">
        <v>43</v>
      </c>
      <c r="E424">
        <v>415</v>
      </c>
      <c r="F424" t="s">
        <v>17</v>
      </c>
      <c r="G424">
        <v>63</v>
      </c>
      <c r="H424">
        <v>54</v>
      </c>
      <c r="I424" t="str">
        <f>_xlfn.XLOOKUP($C424,dim_campaigns!$D$2:$D$3,dim_campaigns!$A$2:$A$3,"",0)</f>
        <v>Diwali</v>
      </c>
      <c r="J424" s="6">
        <f t="shared" si="12"/>
        <v>-0.14285714285714285</v>
      </c>
      <c r="K424">
        <f t="shared" si="13"/>
        <v>42952.5</v>
      </c>
      <c r="L424" t="str">
        <f>VLOOKUP($B424,dim_stores!$A$1:$C$51,2,0)</f>
        <v>Visakhapatnam</v>
      </c>
    </row>
    <row r="425" spans="1:12" x14ac:dyDescent="0.3">
      <c r="A425" t="s">
        <v>474</v>
      </c>
      <c r="B425" t="s">
        <v>110</v>
      </c>
      <c r="C425" t="s">
        <v>15</v>
      </c>
      <c r="D425" t="s">
        <v>68</v>
      </c>
      <c r="E425">
        <v>1020</v>
      </c>
      <c r="F425" t="s">
        <v>21</v>
      </c>
      <c r="G425">
        <v>52</v>
      </c>
      <c r="H425">
        <v>182</v>
      </c>
      <c r="I425" t="str">
        <f>_xlfn.XLOOKUP($C425,dim_campaigns!$D$2:$D$3,dim_campaigns!$A$2:$A$3,"",0)</f>
        <v>Diwali</v>
      </c>
      <c r="J425" s="6">
        <f t="shared" si="12"/>
        <v>2.5</v>
      </c>
      <c r="K425">
        <f t="shared" si="13"/>
        <v>145860</v>
      </c>
      <c r="L425" t="str">
        <f>VLOOKUP($B425,dim_stores!$A$1:$C$51,2,0)</f>
        <v>Chennai</v>
      </c>
    </row>
    <row r="426" spans="1:12" x14ac:dyDescent="0.3">
      <c r="A426" t="s">
        <v>475</v>
      </c>
      <c r="B426" t="s">
        <v>91</v>
      </c>
      <c r="C426" t="s">
        <v>10</v>
      </c>
      <c r="D426" t="s">
        <v>48</v>
      </c>
      <c r="E426">
        <v>62</v>
      </c>
      <c r="F426" t="s">
        <v>12</v>
      </c>
      <c r="G426">
        <v>64</v>
      </c>
      <c r="H426">
        <v>100</v>
      </c>
      <c r="I426" t="str">
        <f>_xlfn.XLOOKUP($C426,dim_campaigns!$D$2:$D$3,dim_campaigns!$A$2:$A$3,"",0)</f>
        <v>Sankranti</v>
      </c>
      <c r="J426" s="6">
        <f t="shared" si="12"/>
        <v>0.5625</v>
      </c>
      <c r="K426">
        <f t="shared" si="13"/>
        <v>7068</v>
      </c>
      <c r="L426" t="str">
        <f>VLOOKUP($B426,dim_stores!$A$1:$C$51,2,0)</f>
        <v>Hyderabad</v>
      </c>
    </row>
    <row r="427" spans="1:12" x14ac:dyDescent="0.3">
      <c r="A427" t="s">
        <v>476</v>
      </c>
      <c r="B427" t="s">
        <v>23</v>
      </c>
      <c r="C427" t="s">
        <v>10</v>
      </c>
      <c r="D427" t="s">
        <v>32</v>
      </c>
      <c r="E427">
        <v>50</v>
      </c>
      <c r="F427" t="s">
        <v>17</v>
      </c>
      <c r="G427">
        <v>27</v>
      </c>
      <c r="H427">
        <v>20</v>
      </c>
      <c r="I427" t="str">
        <f>_xlfn.XLOOKUP($C427,dim_campaigns!$D$2:$D$3,dim_campaigns!$A$2:$A$3,"",0)</f>
        <v>Sankranti</v>
      </c>
      <c r="J427" s="6">
        <f t="shared" si="12"/>
        <v>-0.25925925925925924</v>
      </c>
      <c r="K427">
        <f t="shared" si="13"/>
        <v>2100</v>
      </c>
      <c r="L427" t="str">
        <f>VLOOKUP($B427,dim_stores!$A$1:$C$51,2,0)</f>
        <v>Coimbatore</v>
      </c>
    </row>
    <row r="428" spans="1:12" x14ac:dyDescent="0.3">
      <c r="A428" t="s">
        <v>477</v>
      </c>
      <c r="B428" t="s">
        <v>52</v>
      </c>
      <c r="C428" t="s">
        <v>10</v>
      </c>
      <c r="D428" t="s">
        <v>48</v>
      </c>
      <c r="E428">
        <v>62</v>
      </c>
      <c r="F428" t="s">
        <v>12</v>
      </c>
      <c r="G428">
        <v>40</v>
      </c>
      <c r="H428">
        <v>58</v>
      </c>
      <c r="I428" t="str">
        <f>_xlfn.XLOOKUP($C428,dim_campaigns!$D$2:$D$3,dim_campaigns!$A$2:$A$3,"",0)</f>
        <v>Sankranti</v>
      </c>
      <c r="J428" s="6">
        <f t="shared" si="12"/>
        <v>0.45</v>
      </c>
      <c r="K428">
        <f t="shared" si="13"/>
        <v>4278</v>
      </c>
      <c r="L428" t="str">
        <f>VLOOKUP($B428,dim_stores!$A$1:$C$51,2,0)</f>
        <v>Visakhapatnam</v>
      </c>
    </row>
    <row r="429" spans="1:12" x14ac:dyDescent="0.3">
      <c r="A429">
        <v>449732</v>
      </c>
      <c r="B429" t="s">
        <v>115</v>
      </c>
      <c r="C429" t="s">
        <v>15</v>
      </c>
      <c r="D429" t="s">
        <v>28</v>
      </c>
      <c r="E429">
        <v>55</v>
      </c>
      <c r="F429" t="s">
        <v>17</v>
      </c>
      <c r="G429">
        <v>101</v>
      </c>
      <c r="H429">
        <v>97</v>
      </c>
      <c r="I429" t="str">
        <f>_xlfn.XLOOKUP($C429,dim_campaigns!$D$2:$D$3,dim_campaigns!$A$2:$A$3,"",0)</f>
        <v>Diwali</v>
      </c>
      <c r="J429" s="6">
        <f t="shared" si="12"/>
        <v>-3.9603960396039604E-2</v>
      </c>
      <c r="K429">
        <f t="shared" si="13"/>
        <v>9556.25</v>
      </c>
      <c r="L429" t="str">
        <f>VLOOKUP($B429,dim_stores!$A$1:$C$51,2,0)</f>
        <v>Bengaluru</v>
      </c>
    </row>
    <row r="430" spans="1:12" x14ac:dyDescent="0.3">
      <c r="A430" t="s">
        <v>478</v>
      </c>
      <c r="B430" t="s">
        <v>27</v>
      </c>
      <c r="C430" t="s">
        <v>15</v>
      </c>
      <c r="D430" t="s">
        <v>11</v>
      </c>
      <c r="E430">
        <v>190</v>
      </c>
      <c r="F430" t="s">
        <v>12</v>
      </c>
      <c r="G430">
        <v>75</v>
      </c>
      <c r="H430">
        <v>117</v>
      </c>
      <c r="I430" t="str">
        <f>_xlfn.XLOOKUP($C430,dim_campaigns!$D$2:$D$3,dim_campaigns!$A$2:$A$3,"",0)</f>
        <v>Diwali</v>
      </c>
      <c r="J430" s="6">
        <f t="shared" si="12"/>
        <v>0.56000000000000005</v>
      </c>
      <c r="K430">
        <f t="shared" si="13"/>
        <v>25365</v>
      </c>
      <c r="L430" t="str">
        <f>VLOOKUP($B430,dim_stores!$A$1:$C$51,2,0)</f>
        <v>Bengaluru</v>
      </c>
    </row>
    <row r="431" spans="1:12" x14ac:dyDescent="0.3">
      <c r="A431">
        <v>17537</v>
      </c>
      <c r="B431" t="s">
        <v>40</v>
      </c>
      <c r="C431" t="s">
        <v>10</v>
      </c>
      <c r="D431" t="s">
        <v>38</v>
      </c>
      <c r="E431">
        <v>1190</v>
      </c>
      <c r="F431" t="s">
        <v>21</v>
      </c>
      <c r="G431">
        <v>33</v>
      </c>
      <c r="H431">
        <v>129</v>
      </c>
      <c r="I431" t="str">
        <f>_xlfn.XLOOKUP($C431,dim_campaigns!$D$2:$D$3,dim_campaigns!$A$2:$A$3,"",0)</f>
        <v>Sankranti</v>
      </c>
      <c r="J431" s="6">
        <f t="shared" si="12"/>
        <v>2.9090909090909092</v>
      </c>
      <c r="K431">
        <f t="shared" si="13"/>
        <v>116025</v>
      </c>
      <c r="L431" t="str">
        <f>VLOOKUP($B431,dim_stores!$A$1:$C$51,2,0)</f>
        <v>Madurai</v>
      </c>
    </row>
    <row r="432" spans="1:12" x14ac:dyDescent="0.3">
      <c r="A432" t="s">
        <v>479</v>
      </c>
      <c r="B432" t="s">
        <v>45</v>
      </c>
      <c r="C432" t="s">
        <v>15</v>
      </c>
      <c r="D432" t="s">
        <v>43</v>
      </c>
      <c r="E432">
        <v>415</v>
      </c>
      <c r="F432" t="s">
        <v>17</v>
      </c>
      <c r="G432">
        <v>85</v>
      </c>
      <c r="H432">
        <v>74</v>
      </c>
      <c r="I432" t="str">
        <f>_xlfn.XLOOKUP($C432,dim_campaigns!$D$2:$D$3,dim_campaigns!$A$2:$A$3,"",0)</f>
        <v>Diwali</v>
      </c>
      <c r="J432" s="6">
        <f t="shared" si="12"/>
        <v>-0.12941176470588237</v>
      </c>
      <c r="K432">
        <f t="shared" si="13"/>
        <v>58307.5</v>
      </c>
      <c r="L432" t="str">
        <f>VLOOKUP($B432,dim_stores!$A$1:$C$51,2,0)</f>
        <v>Hyderabad</v>
      </c>
    </row>
    <row r="433" spans="1:12" x14ac:dyDescent="0.3">
      <c r="A433" t="s">
        <v>480</v>
      </c>
      <c r="B433" t="s">
        <v>139</v>
      </c>
      <c r="C433" t="s">
        <v>10</v>
      </c>
      <c r="D433" t="s">
        <v>16</v>
      </c>
      <c r="E433">
        <v>200</v>
      </c>
      <c r="F433" t="s">
        <v>21</v>
      </c>
      <c r="G433">
        <v>250</v>
      </c>
      <c r="H433">
        <v>687</v>
      </c>
      <c r="I433" t="str">
        <f>_xlfn.XLOOKUP($C433,dim_campaigns!$D$2:$D$3,dim_campaigns!$A$2:$A$3,"",0)</f>
        <v>Sankranti</v>
      </c>
      <c r="J433" s="6">
        <f t="shared" si="12"/>
        <v>1.748</v>
      </c>
      <c r="K433">
        <f t="shared" si="13"/>
        <v>118700</v>
      </c>
      <c r="L433" t="str">
        <f>VLOOKUP($B433,dim_stores!$A$1:$C$51,2,0)</f>
        <v>Visakhapatnam</v>
      </c>
    </row>
    <row r="434" spans="1:12" x14ac:dyDescent="0.3">
      <c r="A434" t="s">
        <v>481</v>
      </c>
      <c r="B434" t="s">
        <v>123</v>
      </c>
      <c r="C434" t="s">
        <v>15</v>
      </c>
      <c r="D434" t="s">
        <v>61</v>
      </c>
      <c r="E434">
        <v>172</v>
      </c>
      <c r="F434" t="s">
        <v>54</v>
      </c>
      <c r="G434">
        <v>357</v>
      </c>
      <c r="H434">
        <v>514</v>
      </c>
      <c r="I434" t="str">
        <f>_xlfn.XLOOKUP($C434,dim_campaigns!$D$2:$D$3,dim_campaigns!$A$2:$A$3,"",0)</f>
        <v>Diwali</v>
      </c>
      <c r="J434" s="6">
        <f t="shared" si="12"/>
        <v>0.43977591036414565</v>
      </c>
      <c r="K434">
        <f t="shared" si="13"/>
        <v>120637.36</v>
      </c>
      <c r="L434" t="str">
        <f>VLOOKUP($B434,dim_stores!$A$1:$C$51,2,0)</f>
        <v>Bengaluru</v>
      </c>
    </row>
    <row r="435" spans="1:12" x14ac:dyDescent="0.3">
      <c r="A435" t="s">
        <v>482</v>
      </c>
      <c r="B435" t="s">
        <v>107</v>
      </c>
      <c r="C435" t="s">
        <v>15</v>
      </c>
      <c r="D435" t="s">
        <v>53</v>
      </c>
      <c r="E435">
        <v>860</v>
      </c>
      <c r="F435" t="s">
        <v>54</v>
      </c>
      <c r="G435">
        <v>313</v>
      </c>
      <c r="H435">
        <v>541</v>
      </c>
      <c r="I435" t="str">
        <f>_xlfn.XLOOKUP($C435,dim_campaigns!$D$2:$D$3,dim_campaigns!$A$2:$A$3,"",0)</f>
        <v>Diwali</v>
      </c>
      <c r="J435" s="6">
        <f t="shared" si="12"/>
        <v>0.72843450479233229</v>
      </c>
      <c r="K435">
        <f t="shared" si="13"/>
        <v>580904.19999999995</v>
      </c>
      <c r="L435" t="str">
        <f>VLOOKUP($B435,dim_stores!$A$1:$C$51,2,0)</f>
        <v>Coimbatore</v>
      </c>
    </row>
    <row r="436" spans="1:12" x14ac:dyDescent="0.3">
      <c r="A436" s="1">
        <v>933000000000</v>
      </c>
      <c r="B436" t="s">
        <v>50</v>
      </c>
      <c r="C436" t="s">
        <v>10</v>
      </c>
      <c r="D436" t="s">
        <v>38</v>
      </c>
      <c r="E436">
        <v>1190</v>
      </c>
      <c r="F436" t="s">
        <v>21</v>
      </c>
      <c r="G436">
        <v>40</v>
      </c>
      <c r="H436">
        <v>154</v>
      </c>
      <c r="I436" t="str">
        <f>_xlfn.XLOOKUP($C436,dim_campaigns!$D$2:$D$3,dim_campaigns!$A$2:$A$3,"",0)</f>
        <v>Sankranti</v>
      </c>
      <c r="J436" s="6">
        <f t="shared" si="12"/>
        <v>2.85</v>
      </c>
      <c r="K436">
        <f t="shared" si="13"/>
        <v>139230</v>
      </c>
      <c r="L436" t="str">
        <f>VLOOKUP($B436,dim_stores!$A$1:$C$51,2,0)</f>
        <v>Bengaluru</v>
      </c>
    </row>
    <row r="437" spans="1:12" x14ac:dyDescent="0.3">
      <c r="A437" t="s">
        <v>483</v>
      </c>
      <c r="B437" t="s">
        <v>117</v>
      </c>
      <c r="C437" t="s">
        <v>10</v>
      </c>
      <c r="D437" t="s">
        <v>35</v>
      </c>
      <c r="E437">
        <v>350</v>
      </c>
      <c r="F437" t="s">
        <v>21</v>
      </c>
      <c r="G437">
        <v>49</v>
      </c>
      <c r="H437">
        <v>189</v>
      </c>
      <c r="I437" t="str">
        <f>_xlfn.XLOOKUP($C437,dim_campaigns!$D$2:$D$3,dim_campaigns!$A$2:$A$3,"",0)</f>
        <v>Sankranti</v>
      </c>
      <c r="J437" s="6">
        <f t="shared" si="12"/>
        <v>2.8571428571428572</v>
      </c>
      <c r="K437">
        <f t="shared" si="13"/>
        <v>50225</v>
      </c>
      <c r="L437" t="str">
        <f>VLOOKUP($B437,dim_stores!$A$1:$C$51,2,0)</f>
        <v>Mangalore</v>
      </c>
    </row>
    <row r="438" spans="1:12" x14ac:dyDescent="0.3">
      <c r="A438" t="s">
        <v>484</v>
      </c>
      <c r="B438" t="s">
        <v>212</v>
      </c>
      <c r="C438" t="s">
        <v>15</v>
      </c>
      <c r="D438" t="s">
        <v>51</v>
      </c>
      <c r="E438">
        <v>290</v>
      </c>
      <c r="F438" t="s">
        <v>17</v>
      </c>
      <c r="G438">
        <v>276</v>
      </c>
      <c r="H438">
        <v>242</v>
      </c>
      <c r="I438" t="str">
        <f>_xlfn.XLOOKUP($C438,dim_campaigns!$D$2:$D$3,dim_campaigns!$A$2:$A$3,"",0)</f>
        <v>Diwali</v>
      </c>
      <c r="J438" s="6">
        <f t="shared" si="12"/>
        <v>-0.12318840579710146</v>
      </c>
      <c r="K438">
        <f t="shared" si="13"/>
        <v>132675</v>
      </c>
      <c r="L438" t="str">
        <f>VLOOKUP($B438,dim_stores!$A$1:$C$51,2,0)</f>
        <v>Bengaluru</v>
      </c>
    </row>
    <row r="439" spans="1:12" x14ac:dyDescent="0.3">
      <c r="A439" t="s">
        <v>485</v>
      </c>
      <c r="B439" t="s">
        <v>42</v>
      </c>
      <c r="C439" t="s">
        <v>10</v>
      </c>
      <c r="D439" t="s">
        <v>32</v>
      </c>
      <c r="E439">
        <v>50</v>
      </c>
      <c r="F439" t="s">
        <v>17</v>
      </c>
      <c r="G439">
        <v>25</v>
      </c>
      <c r="H439">
        <v>20</v>
      </c>
      <c r="I439" t="str">
        <f>_xlfn.XLOOKUP($C439,dim_campaigns!$D$2:$D$3,dim_campaigns!$A$2:$A$3,"",0)</f>
        <v>Sankranti</v>
      </c>
      <c r="J439" s="6">
        <f t="shared" si="12"/>
        <v>-0.2</v>
      </c>
      <c r="K439">
        <f t="shared" si="13"/>
        <v>2000</v>
      </c>
      <c r="L439" t="str">
        <f>VLOOKUP($B439,dim_stores!$A$1:$C$51,2,0)</f>
        <v>Mysuru</v>
      </c>
    </row>
    <row r="440" spans="1:12" x14ac:dyDescent="0.3">
      <c r="A440" t="s">
        <v>486</v>
      </c>
      <c r="B440" t="s">
        <v>115</v>
      </c>
      <c r="C440" t="s">
        <v>10</v>
      </c>
      <c r="D440" t="s">
        <v>85</v>
      </c>
      <c r="E440">
        <v>90</v>
      </c>
      <c r="F440" t="s">
        <v>17</v>
      </c>
      <c r="G440">
        <v>61</v>
      </c>
      <c r="H440">
        <v>57</v>
      </c>
      <c r="I440" t="str">
        <f>_xlfn.XLOOKUP($C440,dim_campaigns!$D$2:$D$3,dim_campaigns!$A$2:$A$3,"",0)</f>
        <v>Sankranti</v>
      </c>
      <c r="J440" s="6">
        <f t="shared" si="12"/>
        <v>-6.5573770491803282E-2</v>
      </c>
      <c r="K440">
        <f t="shared" si="13"/>
        <v>9337.5</v>
      </c>
      <c r="L440" t="str">
        <f>VLOOKUP($B440,dim_stores!$A$1:$C$51,2,0)</f>
        <v>Bengaluru</v>
      </c>
    </row>
    <row r="441" spans="1:12" x14ac:dyDescent="0.3">
      <c r="A441" t="s">
        <v>487</v>
      </c>
      <c r="B441" t="s">
        <v>58</v>
      </c>
      <c r="C441" t="s">
        <v>10</v>
      </c>
      <c r="D441" t="s">
        <v>53</v>
      </c>
      <c r="E441">
        <v>860</v>
      </c>
      <c r="F441" t="s">
        <v>54</v>
      </c>
      <c r="G441">
        <v>564</v>
      </c>
      <c r="H441">
        <v>721</v>
      </c>
      <c r="I441" t="str">
        <f>_xlfn.XLOOKUP($C441,dim_campaigns!$D$2:$D$3,dim_campaigns!$A$2:$A$3,"",0)</f>
        <v>Sankranti</v>
      </c>
      <c r="J441" s="6">
        <f t="shared" si="12"/>
        <v>0.27836879432624112</v>
      </c>
      <c r="K441">
        <f t="shared" si="13"/>
        <v>900480.2</v>
      </c>
      <c r="L441" t="str">
        <f>VLOOKUP($B441,dim_stores!$A$1:$C$51,2,0)</f>
        <v>Chennai</v>
      </c>
    </row>
    <row r="442" spans="1:12" x14ac:dyDescent="0.3">
      <c r="A442" t="s">
        <v>488</v>
      </c>
      <c r="B442" t="s">
        <v>103</v>
      </c>
      <c r="C442" t="s">
        <v>15</v>
      </c>
      <c r="D442" t="s">
        <v>16</v>
      </c>
      <c r="E442">
        <v>156</v>
      </c>
      <c r="F442" t="s">
        <v>17</v>
      </c>
      <c r="G442">
        <v>351</v>
      </c>
      <c r="H442">
        <v>319</v>
      </c>
      <c r="I442" t="str">
        <f>_xlfn.XLOOKUP($C442,dim_campaigns!$D$2:$D$3,dim_campaigns!$A$2:$A$3,"",0)</f>
        <v>Diwali</v>
      </c>
      <c r="J442" s="6">
        <f t="shared" si="12"/>
        <v>-9.1168091168091173E-2</v>
      </c>
      <c r="K442">
        <f t="shared" si="13"/>
        <v>92079</v>
      </c>
      <c r="L442" t="str">
        <f>VLOOKUP($B442,dim_stores!$A$1:$C$51,2,0)</f>
        <v>Hyderabad</v>
      </c>
    </row>
    <row r="443" spans="1:12" x14ac:dyDescent="0.3">
      <c r="A443" t="s">
        <v>489</v>
      </c>
      <c r="B443" t="s">
        <v>47</v>
      </c>
      <c r="C443" t="s">
        <v>15</v>
      </c>
      <c r="D443" t="s">
        <v>38</v>
      </c>
      <c r="E443">
        <v>1190</v>
      </c>
      <c r="F443" t="s">
        <v>21</v>
      </c>
      <c r="G443">
        <v>54</v>
      </c>
      <c r="H443">
        <v>185</v>
      </c>
      <c r="I443" t="str">
        <f>_xlfn.XLOOKUP($C443,dim_campaigns!$D$2:$D$3,dim_campaigns!$A$2:$A$3,"",0)</f>
        <v>Diwali</v>
      </c>
      <c r="J443" s="6">
        <f t="shared" si="12"/>
        <v>2.425925925925926</v>
      </c>
      <c r="K443">
        <f t="shared" si="13"/>
        <v>174335</v>
      </c>
      <c r="L443" t="str">
        <f>VLOOKUP($B443,dim_stores!$A$1:$C$51,2,0)</f>
        <v>Chennai</v>
      </c>
    </row>
    <row r="444" spans="1:12" x14ac:dyDescent="0.3">
      <c r="A444" t="s">
        <v>490</v>
      </c>
      <c r="B444" t="s">
        <v>45</v>
      </c>
      <c r="C444" t="s">
        <v>15</v>
      </c>
      <c r="D444" t="s">
        <v>16</v>
      </c>
      <c r="E444">
        <v>156</v>
      </c>
      <c r="F444" t="s">
        <v>17</v>
      </c>
      <c r="G444">
        <v>327</v>
      </c>
      <c r="H444">
        <v>294</v>
      </c>
      <c r="I444" t="str">
        <f>_xlfn.XLOOKUP($C444,dim_campaigns!$D$2:$D$3,dim_campaigns!$A$2:$A$3,"",0)</f>
        <v>Diwali</v>
      </c>
      <c r="J444" s="6">
        <f t="shared" si="12"/>
        <v>-0.10091743119266056</v>
      </c>
      <c r="K444">
        <f t="shared" si="13"/>
        <v>85410</v>
      </c>
      <c r="L444" t="str">
        <f>VLOOKUP($B444,dim_stores!$A$1:$C$51,2,0)</f>
        <v>Hyderabad</v>
      </c>
    </row>
    <row r="445" spans="1:12" x14ac:dyDescent="0.3">
      <c r="A445" t="s">
        <v>491</v>
      </c>
      <c r="B445" t="s">
        <v>103</v>
      </c>
      <c r="C445" t="s">
        <v>10</v>
      </c>
      <c r="D445" t="s">
        <v>48</v>
      </c>
      <c r="E445">
        <v>62</v>
      </c>
      <c r="F445" t="s">
        <v>12</v>
      </c>
      <c r="G445">
        <v>51</v>
      </c>
      <c r="H445">
        <v>57</v>
      </c>
      <c r="I445" t="str">
        <f>_xlfn.XLOOKUP($C445,dim_campaigns!$D$2:$D$3,dim_campaigns!$A$2:$A$3,"",0)</f>
        <v>Sankranti</v>
      </c>
      <c r="J445" s="6">
        <f t="shared" si="12"/>
        <v>0.11764705882352941</v>
      </c>
      <c r="K445">
        <f t="shared" si="13"/>
        <v>4929</v>
      </c>
      <c r="L445" t="str">
        <f>VLOOKUP($B445,dim_stores!$A$1:$C$51,2,0)</f>
        <v>Hyderabad</v>
      </c>
    </row>
    <row r="446" spans="1:12" x14ac:dyDescent="0.3">
      <c r="A446" t="s">
        <v>492</v>
      </c>
      <c r="B446" t="s">
        <v>126</v>
      </c>
      <c r="C446" t="s">
        <v>15</v>
      </c>
      <c r="D446" t="s">
        <v>28</v>
      </c>
      <c r="E446">
        <v>55</v>
      </c>
      <c r="F446" t="s">
        <v>17</v>
      </c>
      <c r="G446">
        <v>52</v>
      </c>
      <c r="H446">
        <v>45</v>
      </c>
      <c r="I446" t="str">
        <f>_xlfn.XLOOKUP($C446,dim_campaigns!$D$2:$D$3,dim_campaigns!$A$2:$A$3,"",0)</f>
        <v>Diwali</v>
      </c>
      <c r="J446" s="6">
        <f t="shared" si="12"/>
        <v>-0.13461538461538461</v>
      </c>
      <c r="K446">
        <f t="shared" si="13"/>
        <v>4716.25</v>
      </c>
      <c r="L446" t="str">
        <f>VLOOKUP($B446,dim_stores!$A$1:$C$51,2,0)</f>
        <v>Mangalore</v>
      </c>
    </row>
    <row r="447" spans="1:12" x14ac:dyDescent="0.3">
      <c r="A447" t="s">
        <v>493</v>
      </c>
      <c r="B447" t="s">
        <v>67</v>
      </c>
      <c r="C447" t="s">
        <v>10</v>
      </c>
      <c r="D447" t="s">
        <v>11</v>
      </c>
      <c r="E447">
        <v>190</v>
      </c>
      <c r="F447" t="s">
        <v>12</v>
      </c>
      <c r="G447">
        <v>43</v>
      </c>
      <c r="H447">
        <v>62</v>
      </c>
      <c r="I447" t="str">
        <f>_xlfn.XLOOKUP($C447,dim_campaigns!$D$2:$D$3,dim_campaigns!$A$2:$A$3,"",0)</f>
        <v>Sankranti</v>
      </c>
      <c r="J447" s="6">
        <f t="shared" si="12"/>
        <v>0.44186046511627908</v>
      </c>
      <c r="K447">
        <f t="shared" si="13"/>
        <v>14060</v>
      </c>
      <c r="L447" t="str">
        <f>VLOOKUP($B447,dim_stores!$A$1:$C$51,2,0)</f>
        <v>Bengaluru</v>
      </c>
    </row>
    <row r="448" spans="1:12" x14ac:dyDescent="0.3">
      <c r="A448" t="s">
        <v>494</v>
      </c>
      <c r="B448" t="s">
        <v>70</v>
      </c>
      <c r="C448" t="s">
        <v>15</v>
      </c>
      <c r="D448" t="s">
        <v>61</v>
      </c>
      <c r="E448">
        <v>172</v>
      </c>
      <c r="F448" t="s">
        <v>54</v>
      </c>
      <c r="G448">
        <v>327</v>
      </c>
      <c r="H448">
        <v>503</v>
      </c>
      <c r="I448" t="str">
        <f>_xlfn.XLOOKUP($C448,dim_campaigns!$D$2:$D$3,dim_campaigns!$A$2:$A$3,"",0)</f>
        <v>Diwali</v>
      </c>
      <c r="J448" s="6">
        <f t="shared" si="12"/>
        <v>0.53822629969418956</v>
      </c>
      <c r="K448">
        <f t="shared" si="13"/>
        <v>114209.72</v>
      </c>
      <c r="L448" t="str">
        <f>VLOOKUP($B448,dim_stores!$A$1:$C$51,2,0)</f>
        <v>Chennai</v>
      </c>
    </row>
    <row r="449" spans="1:12" x14ac:dyDescent="0.3">
      <c r="A449" t="s">
        <v>495</v>
      </c>
      <c r="B449" t="s">
        <v>58</v>
      </c>
      <c r="C449" t="s">
        <v>15</v>
      </c>
      <c r="D449" t="s">
        <v>85</v>
      </c>
      <c r="E449">
        <v>110</v>
      </c>
      <c r="F449" t="s">
        <v>12</v>
      </c>
      <c r="G449">
        <v>75</v>
      </c>
      <c r="H449">
        <v>80</v>
      </c>
      <c r="I449" t="str">
        <f>_xlfn.XLOOKUP($C449,dim_campaigns!$D$2:$D$3,dim_campaigns!$A$2:$A$3,"",0)</f>
        <v>Diwali</v>
      </c>
      <c r="J449" s="6">
        <f t="shared" si="12"/>
        <v>6.6666666666666666E-2</v>
      </c>
      <c r="K449">
        <f t="shared" si="13"/>
        <v>12650</v>
      </c>
      <c r="L449" t="str">
        <f>VLOOKUP($B449,dim_stores!$A$1:$C$51,2,0)</f>
        <v>Chennai</v>
      </c>
    </row>
    <row r="450" spans="1:12" x14ac:dyDescent="0.3">
      <c r="A450" t="s">
        <v>496</v>
      </c>
      <c r="B450" t="s">
        <v>47</v>
      </c>
      <c r="C450" t="s">
        <v>10</v>
      </c>
      <c r="D450" t="s">
        <v>38</v>
      </c>
      <c r="E450">
        <v>1190</v>
      </c>
      <c r="F450" t="s">
        <v>21</v>
      </c>
      <c r="G450">
        <v>60</v>
      </c>
      <c r="H450">
        <v>238</v>
      </c>
      <c r="I450" t="str">
        <f>_xlfn.XLOOKUP($C450,dim_campaigns!$D$2:$D$3,dim_campaigns!$A$2:$A$3,"",0)</f>
        <v>Sankranti</v>
      </c>
      <c r="J450" s="6">
        <f t="shared" si="12"/>
        <v>2.9666666666666668</v>
      </c>
      <c r="K450">
        <f t="shared" si="13"/>
        <v>213010</v>
      </c>
      <c r="L450" t="str">
        <f>VLOOKUP($B450,dim_stores!$A$1:$C$51,2,0)</f>
        <v>Chennai</v>
      </c>
    </row>
    <row r="451" spans="1:12" x14ac:dyDescent="0.3">
      <c r="A451" t="s">
        <v>497</v>
      </c>
      <c r="B451" t="s">
        <v>193</v>
      </c>
      <c r="C451" t="s">
        <v>10</v>
      </c>
      <c r="D451" t="s">
        <v>35</v>
      </c>
      <c r="E451">
        <v>350</v>
      </c>
      <c r="F451" t="s">
        <v>21</v>
      </c>
      <c r="G451">
        <v>117</v>
      </c>
      <c r="H451">
        <v>469</v>
      </c>
      <c r="I451" t="str">
        <f>_xlfn.XLOOKUP($C451,dim_campaigns!$D$2:$D$3,dim_campaigns!$A$2:$A$3,"",0)</f>
        <v>Sankranti</v>
      </c>
      <c r="J451" s="6">
        <f t="shared" ref="J451:J514" si="14">IFERROR((H451-G451)/G451,0)</f>
        <v>3.0085470085470085</v>
      </c>
      <c r="K451">
        <f t="shared" ref="K451:K514" si="15">E451*G451+(E451-IF(F451="500 Cashback",500,IF(F451="BOGOF",E451*50%,IF(F451="25% OFF",E451*25%,IF(F451="33% OFF",E451*33%,IF(F451="50% OFF",E451*50%,0))))))*H451</f>
        <v>123025</v>
      </c>
      <c r="L451" t="str">
        <f>VLOOKUP($B451,dim_stores!$A$1:$C$51,2,0)</f>
        <v>Bengaluru</v>
      </c>
    </row>
    <row r="452" spans="1:12" x14ac:dyDescent="0.3">
      <c r="A452" t="s">
        <v>498</v>
      </c>
      <c r="B452" t="s">
        <v>113</v>
      </c>
      <c r="C452" t="s">
        <v>10</v>
      </c>
      <c r="D452" t="s">
        <v>68</v>
      </c>
      <c r="E452">
        <v>1020</v>
      </c>
      <c r="F452" t="s">
        <v>21</v>
      </c>
      <c r="G452">
        <v>112</v>
      </c>
      <c r="H452">
        <v>294</v>
      </c>
      <c r="I452" t="str">
        <f>_xlfn.XLOOKUP($C452,dim_campaigns!$D$2:$D$3,dim_campaigns!$A$2:$A$3,"",0)</f>
        <v>Sankranti</v>
      </c>
      <c r="J452" s="6">
        <f t="shared" si="14"/>
        <v>1.625</v>
      </c>
      <c r="K452">
        <f t="shared" si="15"/>
        <v>264180</v>
      </c>
      <c r="L452" t="str">
        <f>VLOOKUP($B452,dim_stores!$A$1:$C$51,2,0)</f>
        <v>Chennai</v>
      </c>
    </row>
    <row r="453" spans="1:12" x14ac:dyDescent="0.3">
      <c r="A453" t="s">
        <v>499</v>
      </c>
      <c r="B453" t="s">
        <v>115</v>
      </c>
      <c r="C453" t="s">
        <v>15</v>
      </c>
      <c r="D453" t="s">
        <v>35</v>
      </c>
      <c r="E453">
        <v>350</v>
      </c>
      <c r="F453" t="s">
        <v>21</v>
      </c>
      <c r="G453">
        <v>94</v>
      </c>
      <c r="H453">
        <v>329</v>
      </c>
      <c r="I453" t="str">
        <f>_xlfn.XLOOKUP($C453,dim_campaigns!$D$2:$D$3,dim_campaigns!$A$2:$A$3,"",0)</f>
        <v>Diwali</v>
      </c>
      <c r="J453" s="6">
        <f t="shared" si="14"/>
        <v>2.5</v>
      </c>
      <c r="K453">
        <f t="shared" si="15"/>
        <v>90475</v>
      </c>
      <c r="L453" t="str">
        <f>VLOOKUP($B453,dim_stores!$A$1:$C$51,2,0)</f>
        <v>Bengaluru</v>
      </c>
    </row>
    <row r="454" spans="1:12" x14ac:dyDescent="0.3">
      <c r="A454" t="s">
        <v>500</v>
      </c>
      <c r="B454" t="s">
        <v>161</v>
      </c>
      <c r="C454" t="s">
        <v>15</v>
      </c>
      <c r="D454" t="s">
        <v>32</v>
      </c>
      <c r="E454">
        <v>65</v>
      </c>
      <c r="F454" t="s">
        <v>12</v>
      </c>
      <c r="G454">
        <v>136</v>
      </c>
      <c r="H454">
        <v>179</v>
      </c>
      <c r="I454" t="str">
        <f>_xlfn.XLOOKUP($C454,dim_campaigns!$D$2:$D$3,dim_campaigns!$A$2:$A$3,"",0)</f>
        <v>Diwali</v>
      </c>
      <c r="J454" s="6">
        <f t="shared" si="14"/>
        <v>0.31617647058823528</v>
      </c>
      <c r="K454">
        <f t="shared" si="15"/>
        <v>14657.5</v>
      </c>
      <c r="L454" t="str">
        <f>VLOOKUP($B454,dim_stores!$A$1:$C$51,2,0)</f>
        <v>Chennai</v>
      </c>
    </row>
    <row r="455" spans="1:12" x14ac:dyDescent="0.3">
      <c r="A455" t="s">
        <v>501</v>
      </c>
      <c r="B455" t="s">
        <v>29</v>
      </c>
      <c r="C455" t="s">
        <v>15</v>
      </c>
      <c r="D455" t="s">
        <v>61</v>
      </c>
      <c r="E455">
        <v>172</v>
      </c>
      <c r="F455" t="s">
        <v>54</v>
      </c>
      <c r="G455">
        <v>337</v>
      </c>
      <c r="H455">
        <v>478</v>
      </c>
      <c r="I455" t="str">
        <f>_xlfn.XLOOKUP($C455,dim_campaigns!$D$2:$D$3,dim_campaigns!$A$2:$A$3,"",0)</f>
        <v>Diwali</v>
      </c>
      <c r="J455" s="6">
        <f t="shared" si="14"/>
        <v>0.41839762611275966</v>
      </c>
      <c r="K455">
        <f t="shared" si="15"/>
        <v>113048.72</v>
      </c>
      <c r="L455" t="str">
        <f>VLOOKUP($B455,dim_stores!$A$1:$C$51,2,0)</f>
        <v>Bengaluru</v>
      </c>
    </row>
    <row r="456" spans="1:12" x14ac:dyDescent="0.3">
      <c r="A456" t="s">
        <v>502</v>
      </c>
      <c r="B456" t="s">
        <v>93</v>
      </c>
      <c r="C456" t="s">
        <v>15</v>
      </c>
      <c r="D456" t="s">
        <v>85</v>
      </c>
      <c r="E456">
        <v>110</v>
      </c>
      <c r="F456" t="s">
        <v>12</v>
      </c>
      <c r="G456">
        <v>75</v>
      </c>
      <c r="H456">
        <v>95</v>
      </c>
      <c r="I456" t="str">
        <f>_xlfn.XLOOKUP($C456,dim_campaigns!$D$2:$D$3,dim_campaigns!$A$2:$A$3,"",0)</f>
        <v>Diwali</v>
      </c>
      <c r="J456" s="6">
        <f t="shared" si="14"/>
        <v>0.26666666666666666</v>
      </c>
      <c r="K456">
        <f t="shared" si="15"/>
        <v>13475</v>
      </c>
      <c r="L456" t="str">
        <f>VLOOKUP($B456,dim_stores!$A$1:$C$51,2,0)</f>
        <v>Bengaluru</v>
      </c>
    </row>
    <row r="457" spans="1:12" x14ac:dyDescent="0.3">
      <c r="A457" t="s">
        <v>503</v>
      </c>
      <c r="B457" t="s">
        <v>174</v>
      </c>
      <c r="C457" t="s">
        <v>10</v>
      </c>
      <c r="D457" t="s">
        <v>28</v>
      </c>
      <c r="E457">
        <v>55</v>
      </c>
      <c r="F457" t="s">
        <v>17</v>
      </c>
      <c r="G457">
        <v>10</v>
      </c>
      <c r="H457">
        <v>9</v>
      </c>
      <c r="I457" t="str">
        <f>_xlfn.XLOOKUP($C457,dim_campaigns!$D$2:$D$3,dim_campaigns!$A$2:$A$3,"",0)</f>
        <v>Sankranti</v>
      </c>
      <c r="J457" s="6">
        <f t="shared" si="14"/>
        <v>-0.1</v>
      </c>
      <c r="K457">
        <f t="shared" si="15"/>
        <v>921.25</v>
      </c>
      <c r="L457" t="str">
        <f>VLOOKUP($B457,dim_stores!$A$1:$C$51,2,0)</f>
        <v>Trivandrum</v>
      </c>
    </row>
    <row r="458" spans="1:12" x14ac:dyDescent="0.3">
      <c r="A458" t="s">
        <v>504</v>
      </c>
      <c r="B458" t="s">
        <v>126</v>
      </c>
      <c r="C458" t="s">
        <v>10</v>
      </c>
      <c r="D458" t="s">
        <v>68</v>
      </c>
      <c r="E458">
        <v>1020</v>
      </c>
      <c r="F458" t="s">
        <v>21</v>
      </c>
      <c r="G458">
        <v>37</v>
      </c>
      <c r="H458">
        <v>96</v>
      </c>
      <c r="I458" t="str">
        <f>_xlfn.XLOOKUP($C458,dim_campaigns!$D$2:$D$3,dim_campaigns!$A$2:$A$3,"",0)</f>
        <v>Sankranti</v>
      </c>
      <c r="J458" s="6">
        <f t="shared" si="14"/>
        <v>1.5945945945945945</v>
      </c>
      <c r="K458">
        <f t="shared" si="15"/>
        <v>86700</v>
      </c>
      <c r="L458" t="str">
        <f>VLOOKUP($B458,dim_stores!$A$1:$C$51,2,0)</f>
        <v>Mangalore</v>
      </c>
    </row>
    <row r="459" spans="1:12" x14ac:dyDescent="0.3">
      <c r="A459">
        <v>317699</v>
      </c>
      <c r="B459" t="s">
        <v>56</v>
      </c>
      <c r="C459" t="s">
        <v>10</v>
      </c>
      <c r="D459" t="s">
        <v>16</v>
      </c>
      <c r="E459">
        <v>200</v>
      </c>
      <c r="F459" t="s">
        <v>21</v>
      </c>
      <c r="G459">
        <v>310</v>
      </c>
      <c r="H459">
        <v>1246</v>
      </c>
      <c r="I459" t="str">
        <f>_xlfn.XLOOKUP($C459,dim_campaigns!$D$2:$D$3,dim_campaigns!$A$2:$A$3,"",0)</f>
        <v>Sankranti</v>
      </c>
      <c r="J459" s="6">
        <f t="shared" si="14"/>
        <v>3.0193548387096776</v>
      </c>
      <c r="K459">
        <f t="shared" si="15"/>
        <v>186600</v>
      </c>
      <c r="L459" t="str">
        <f>VLOOKUP($B459,dim_stores!$A$1:$C$51,2,0)</f>
        <v>Chennai</v>
      </c>
    </row>
    <row r="460" spans="1:12" x14ac:dyDescent="0.3">
      <c r="A460" t="s">
        <v>505</v>
      </c>
      <c r="B460" t="s">
        <v>193</v>
      </c>
      <c r="C460" t="s">
        <v>10</v>
      </c>
      <c r="D460" t="s">
        <v>68</v>
      </c>
      <c r="E460">
        <v>1020</v>
      </c>
      <c r="F460" t="s">
        <v>21</v>
      </c>
      <c r="G460">
        <v>88</v>
      </c>
      <c r="H460">
        <v>346</v>
      </c>
      <c r="I460" t="str">
        <f>_xlfn.XLOOKUP($C460,dim_campaigns!$D$2:$D$3,dim_campaigns!$A$2:$A$3,"",0)</f>
        <v>Sankranti</v>
      </c>
      <c r="J460" s="6">
        <f t="shared" si="14"/>
        <v>2.9318181818181817</v>
      </c>
      <c r="K460">
        <f t="shared" si="15"/>
        <v>266220</v>
      </c>
      <c r="L460" t="str">
        <f>VLOOKUP($B460,dim_stores!$A$1:$C$51,2,0)</f>
        <v>Bengaluru</v>
      </c>
    </row>
    <row r="461" spans="1:12" x14ac:dyDescent="0.3">
      <c r="A461" t="s">
        <v>506</v>
      </c>
      <c r="B461" t="s">
        <v>139</v>
      </c>
      <c r="C461" t="s">
        <v>10</v>
      </c>
      <c r="D461" t="s">
        <v>48</v>
      </c>
      <c r="E461">
        <v>62</v>
      </c>
      <c r="F461" t="s">
        <v>12</v>
      </c>
      <c r="G461">
        <v>43</v>
      </c>
      <c r="H461">
        <v>51</v>
      </c>
      <c r="I461" t="str">
        <f>_xlfn.XLOOKUP($C461,dim_campaigns!$D$2:$D$3,dim_campaigns!$A$2:$A$3,"",0)</f>
        <v>Sankranti</v>
      </c>
      <c r="J461" s="6">
        <f t="shared" si="14"/>
        <v>0.18604651162790697</v>
      </c>
      <c r="K461">
        <f t="shared" si="15"/>
        <v>4247</v>
      </c>
      <c r="L461" t="str">
        <f>VLOOKUP($B461,dim_stores!$A$1:$C$51,2,0)</f>
        <v>Visakhapatnam</v>
      </c>
    </row>
    <row r="462" spans="1:12" x14ac:dyDescent="0.3">
      <c r="A462" t="s">
        <v>507</v>
      </c>
      <c r="B462" t="s">
        <v>123</v>
      </c>
      <c r="C462" t="s">
        <v>10</v>
      </c>
      <c r="D462" t="s">
        <v>24</v>
      </c>
      <c r="E462">
        <v>3000</v>
      </c>
      <c r="F462" t="s">
        <v>25</v>
      </c>
      <c r="G462">
        <v>136</v>
      </c>
      <c r="H462">
        <v>220</v>
      </c>
      <c r="I462" t="str">
        <f>_xlfn.XLOOKUP($C462,dim_campaigns!$D$2:$D$3,dim_campaigns!$A$2:$A$3,"",0)</f>
        <v>Sankranti</v>
      </c>
      <c r="J462" s="6">
        <f t="shared" si="14"/>
        <v>0.61764705882352944</v>
      </c>
      <c r="K462">
        <f t="shared" si="15"/>
        <v>958000</v>
      </c>
      <c r="L462" t="str">
        <f>VLOOKUP($B462,dim_stores!$A$1:$C$51,2,0)</f>
        <v>Bengaluru</v>
      </c>
    </row>
    <row r="463" spans="1:12" x14ac:dyDescent="0.3">
      <c r="A463" t="s">
        <v>508</v>
      </c>
      <c r="B463" t="s">
        <v>103</v>
      </c>
      <c r="C463" t="s">
        <v>15</v>
      </c>
      <c r="D463" t="s">
        <v>68</v>
      </c>
      <c r="E463">
        <v>1020</v>
      </c>
      <c r="F463" t="s">
        <v>21</v>
      </c>
      <c r="G463">
        <v>43</v>
      </c>
      <c r="H463">
        <v>127</v>
      </c>
      <c r="I463" t="str">
        <f>_xlfn.XLOOKUP($C463,dim_campaigns!$D$2:$D$3,dim_campaigns!$A$2:$A$3,"",0)</f>
        <v>Diwali</v>
      </c>
      <c r="J463" s="6">
        <f t="shared" si="14"/>
        <v>1.9534883720930232</v>
      </c>
      <c r="K463">
        <f t="shared" si="15"/>
        <v>108630</v>
      </c>
      <c r="L463" t="str">
        <f>VLOOKUP($B463,dim_stores!$A$1:$C$51,2,0)</f>
        <v>Hyderabad</v>
      </c>
    </row>
    <row r="464" spans="1:12" x14ac:dyDescent="0.3">
      <c r="A464" t="s">
        <v>509</v>
      </c>
      <c r="B464" t="s">
        <v>65</v>
      </c>
      <c r="C464" t="s">
        <v>10</v>
      </c>
      <c r="D464" t="s">
        <v>16</v>
      </c>
      <c r="E464">
        <v>200</v>
      </c>
      <c r="F464" t="s">
        <v>21</v>
      </c>
      <c r="G464">
        <v>416</v>
      </c>
      <c r="H464">
        <v>1630</v>
      </c>
      <c r="I464" t="str">
        <f>_xlfn.XLOOKUP($C464,dim_campaigns!$D$2:$D$3,dim_campaigns!$A$2:$A$3,"",0)</f>
        <v>Sankranti</v>
      </c>
      <c r="J464" s="6">
        <f t="shared" si="14"/>
        <v>2.9182692307692308</v>
      </c>
      <c r="K464">
        <f t="shared" si="15"/>
        <v>246200</v>
      </c>
      <c r="L464" t="str">
        <f>VLOOKUP($B464,dim_stores!$A$1:$C$51,2,0)</f>
        <v>Hyderabad</v>
      </c>
    </row>
    <row r="465" spans="1:12" x14ac:dyDescent="0.3">
      <c r="A465" t="s">
        <v>510</v>
      </c>
      <c r="B465" t="s">
        <v>23</v>
      </c>
      <c r="C465" t="s">
        <v>10</v>
      </c>
      <c r="D465" t="s">
        <v>38</v>
      </c>
      <c r="E465">
        <v>1190</v>
      </c>
      <c r="F465" t="s">
        <v>21</v>
      </c>
      <c r="G465">
        <v>43</v>
      </c>
      <c r="H465">
        <v>171</v>
      </c>
      <c r="I465" t="str">
        <f>_xlfn.XLOOKUP($C465,dim_campaigns!$D$2:$D$3,dim_campaigns!$A$2:$A$3,"",0)</f>
        <v>Sankranti</v>
      </c>
      <c r="J465" s="6">
        <f t="shared" si="14"/>
        <v>2.9767441860465116</v>
      </c>
      <c r="K465">
        <f t="shared" si="15"/>
        <v>152915</v>
      </c>
      <c r="L465" t="str">
        <f>VLOOKUP($B465,dim_stores!$A$1:$C$51,2,0)</f>
        <v>Coimbatore</v>
      </c>
    </row>
    <row r="466" spans="1:12" x14ac:dyDescent="0.3">
      <c r="A466" t="s">
        <v>511</v>
      </c>
      <c r="B466" t="s">
        <v>23</v>
      </c>
      <c r="C466" t="s">
        <v>15</v>
      </c>
      <c r="D466" t="s">
        <v>16</v>
      </c>
      <c r="E466">
        <v>156</v>
      </c>
      <c r="F466" t="s">
        <v>17</v>
      </c>
      <c r="G466">
        <v>274</v>
      </c>
      <c r="H466">
        <v>210</v>
      </c>
      <c r="I466" t="str">
        <f>_xlfn.XLOOKUP($C466,dim_campaigns!$D$2:$D$3,dim_campaigns!$A$2:$A$3,"",0)</f>
        <v>Diwali</v>
      </c>
      <c r="J466" s="6">
        <f t="shared" si="14"/>
        <v>-0.23357664233576642</v>
      </c>
      <c r="K466">
        <f t="shared" si="15"/>
        <v>67314</v>
      </c>
      <c r="L466" t="str">
        <f>VLOOKUP($B466,dim_stores!$A$1:$C$51,2,0)</f>
        <v>Coimbatore</v>
      </c>
    </row>
    <row r="467" spans="1:12" x14ac:dyDescent="0.3">
      <c r="A467">
        <v>911349</v>
      </c>
      <c r="B467" t="s">
        <v>207</v>
      </c>
      <c r="C467" t="s">
        <v>15</v>
      </c>
      <c r="D467" t="s">
        <v>24</v>
      </c>
      <c r="E467">
        <v>3000</v>
      </c>
      <c r="F467" t="s">
        <v>25</v>
      </c>
      <c r="G467">
        <v>397</v>
      </c>
      <c r="H467">
        <v>1214</v>
      </c>
      <c r="I467" t="str">
        <f>_xlfn.XLOOKUP($C467,dim_campaigns!$D$2:$D$3,dim_campaigns!$A$2:$A$3,"",0)</f>
        <v>Diwali</v>
      </c>
      <c r="J467" s="6">
        <f t="shared" si="14"/>
        <v>2.0579345088161207</v>
      </c>
      <c r="K467">
        <f t="shared" si="15"/>
        <v>4226000</v>
      </c>
      <c r="L467" t="str">
        <f>VLOOKUP($B467,dim_stores!$A$1:$C$51,2,0)</f>
        <v>Hyderabad</v>
      </c>
    </row>
    <row r="468" spans="1:12" x14ac:dyDescent="0.3">
      <c r="A468" t="s">
        <v>512</v>
      </c>
      <c r="B468" t="s">
        <v>14</v>
      </c>
      <c r="C468" t="s">
        <v>10</v>
      </c>
      <c r="D468" t="s">
        <v>51</v>
      </c>
      <c r="E468">
        <v>370</v>
      </c>
      <c r="F468" t="s">
        <v>21</v>
      </c>
      <c r="G468">
        <v>480</v>
      </c>
      <c r="H468">
        <v>1867</v>
      </c>
      <c r="I468" t="str">
        <f>_xlfn.XLOOKUP($C468,dim_campaigns!$D$2:$D$3,dim_campaigns!$A$2:$A$3,"",0)</f>
        <v>Sankranti</v>
      </c>
      <c r="J468" s="6">
        <f t="shared" si="14"/>
        <v>2.8895833333333334</v>
      </c>
      <c r="K468">
        <f t="shared" si="15"/>
        <v>522995</v>
      </c>
      <c r="L468" t="str">
        <f>VLOOKUP($B468,dim_stores!$A$1:$C$51,2,0)</f>
        <v>Bengaluru</v>
      </c>
    </row>
    <row r="469" spans="1:12" x14ac:dyDescent="0.3">
      <c r="A469" t="s">
        <v>513</v>
      </c>
      <c r="B469" t="s">
        <v>95</v>
      </c>
      <c r="C469" t="s">
        <v>10</v>
      </c>
      <c r="D469" t="s">
        <v>85</v>
      </c>
      <c r="E469">
        <v>90</v>
      </c>
      <c r="F469" t="s">
        <v>17</v>
      </c>
      <c r="G469">
        <v>66</v>
      </c>
      <c r="H469">
        <v>49</v>
      </c>
      <c r="I469" t="str">
        <f>_xlfn.XLOOKUP($C469,dim_campaigns!$D$2:$D$3,dim_campaigns!$A$2:$A$3,"",0)</f>
        <v>Sankranti</v>
      </c>
      <c r="J469" s="6">
        <f t="shared" si="14"/>
        <v>-0.25757575757575757</v>
      </c>
      <c r="K469">
        <f t="shared" si="15"/>
        <v>9247.5</v>
      </c>
      <c r="L469" t="str">
        <f>VLOOKUP($B469,dim_stores!$A$1:$C$51,2,0)</f>
        <v>Hyderabad</v>
      </c>
    </row>
    <row r="470" spans="1:12" x14ac:dyDescent="0.3">
      <c r="A470" t="s">
        <v>514</v>
      </c>
      <c r="B470" t="s">
        <v>47</v>
      </c>
      <c r="C470" t="s">
        <v>10</v>
      </c>
      <c r="D470" t="s">
        <v>48</v>
      </c>
      <c r="E470">
        <v>62</v>
      </c>
      <c r="F470" t="s">
        <v>12</v>
      </c>
      <c r="G470">
        <v>58</v>
      </c>
      <c r="H470">
        <v>81</v>
      </c>
      <c r="I470" t="str">
        <f>_xlfn.XLOOKUP($C470,dim_campaigns!$D$2:$D$3,dim_campaigns!$A$2:$A$3,"",0)</f>
        <v>Sankranti</v>
      </c>
      <c r="J470" s="6">
        <f t="shared" si="14"/>
        <v>0.39655172413793105</v>
      </c>
      <c r="K470">
        <f t="shared" si="15"/>
        <v>6107</v>
      </c>
      <c r="L470" t="str">
        <f>VLOOKUP($B470,dim_stores!$A$1:$C$51,2,0)</f>
        <v>Chennai</v>
      </c>
    </row>
    <row r="471" spans="1:12" x14ac:dyDescent="0.3">
      <c r="A471" t="s">
        <v>515</v>
      </c>
      <c r="B471" t="s">
        <v>142</v>
      </c>
      <c r="C471" t="s">
        <v>15</v>
      </c>
      <c r="D471" t="s">
        <v>48</v>
      </c>
      <c r="E471">
        <v>62</v>
      </c>
      <c r="F471" t="s">
        <v>12</v>
      </c>
      <c r="G471">
        <v>85</v>
      </c>
      <c r="H471">
        <v>117</v>
      </c>
      <c r="I471" t="str">
        <f>_xlfn.XLOOKUP($C471,dim_campaigns!$D$2:$D$3,dim_campaigns!$A$2:$A$3,"",0)</f>
        <v>Diwali</v>
      </c>
      <c r="J471" s="6">
        <f t="shared" si="14"/>
        <v>0.37647058823529411</v>
      </c>
      <c r="K471">
        <f t="shared" si="15"/>
        <v>8897</v>
      </c>
      <c r="L471" t="str">
        <f>VLOOKUP($B471,dim_stores!$A$1:$C$51,2,0)</f>
        <v>Madurai</v>
      </c>
    </row>
    <row r="472" spans="1:12" x14ac:dyDescent="0.3">
      <c r="A472" t="s">
        <v>516</v>
      </c>
      <c r="B472" t="s">
        <v>89</v>
      </c>
      <c r="C472" t="s">
        <v>15</v>
      </c>
      <c r="D472" t="s">
        <v>48</v>
      </c>
      <c r="E472">
        <v>62</v>
      </c>
      <c r="F472" t="s">
        <v>12</v>
      </c>
      <c r="G472">
        <v>56</v>
      </c>
      <c r="H472">
        <v>71</v>
      </c>
      <c r="I472" t="str">
        <f>_xlfn.XLOOKUP($C472,dim_campaigns!$D$2:$D$3,dim_campaigns!$A$2:$A$3,"",0)</f>
        <v>Diwali</v>
      </c>
      <c r="J472" s="6">
        <f t="shared" si="14"/>
        <v>0.26785714285714285</v>
      </c>
      <c r="K472">
        <f t="shared" si="15"/>
        <v>5673</v>
      </c>
      <c r="L472" t="str">
        <f>VLOOKUP($B472,dim_stores!$A$1:$C$51,2,0)</f>
        <v>Vijayawada</v>
      </c>
    </row>
    <row r="473" spans="1:12" x14ac:dyDescent="0.3">
      <c r="A473" t="s">
        <v>517</v>
      </c>
      <c r="B473" t="s">
        <v>174</v>
      </c>
      <c r="C473" t="s">
        <v>10</v>
      </c>
      <c r="D473" t="s">
        <v>16</v>
      </c>
      <c r="E473">
        <v>200</v>
      </c>
      <c r="F473" t="s">
        <v>21</v>
      </c>
      <c r="G473">
        <v>193</v>
      </c>
      <c r="H473">
        <v>746</v>
      </c>
      <c r="I473" t="str">
        <f>_xlfn.XLOOKUP($C473,dim_campaigns!$D$2:$D$3,dim_campaigns!$A$2:$A$3,"",0)</f>
        <v>Sankranti</v>
      </c>
      <c r="J473" s="6">
        <f t="shared" si="14"/>
        <v>2.8652849740932642</v>
      </c>
      <c r="K473">
        <f t="shared" si="15"/>
        <v>113200</v>
      </c>
      <c r="L473" t="str">
        <f>VLOOKUP($B473,dim_stores!$A$1:$C$51,2,0)</f>
        <v>Trivandrum</v>
      </c>
    </row>
    <row r="474" spans="1:12" x14ac:dyDescent="0.3">
      <c r="A474" t="s">
        <v>518</v>
      </c>
      <c r="B474" t="s">
        <v>84</v>
      </c>
      <c r="C474" t="s">
        <v>10</v>
      </c>
      <c r="D474" t="s">
        <v>11</v>
      </c>
      <c r="E474">
        <v>190</v>
      </c>
      <c r="F474" t="s">
        <v>12</v>
      </c>
      <c r="G474">
        <v>31</v>
      </c>
      <c r="H474">
        <v>50</v>
      </c>
      <c r="I474" t="str">
        <f>_xlfn.XLOOKUP($C474,dim_campaigns!$D$2:$D$3,dim_campaigns!$A$2:$A$3,"",0)</f>
        <v>Sankranti</v>
      </c>
      <c r="J474" s="6">
        <f t="shared" si="14"/>
        <v>0.61290322580645162</v>
      </c>
      <c r="K474">
        <f t="shared" si="15"/>
        <v>10640</v>
      </c>
      <c r="L474" t="str">
        <f>VLOOKUP($B474,dim_stores!$A$1:$C$51,2,0)</f>
        <v>Mysuru</v>
      </c>
    </row>
    <row r="475" spans="1:12" x14ac:dyDescent="0.3">
      <c r="A475" t="s">
        <v>519</v>
      </c>
      <c r="B475" t="s">
        <v>56</v>
      </c>
      <c r="C475" t="s">
        <v>15</v>
      </c>
      <c r="D475" t="s">
        <v>43</v>
      </c>
      <c r="E475">
        <v>415</v>
      </c>
      <c r="F475" t="s">
        <v>17</v>
      </c>
      <c r="G475">
        <v>85</v>
      </c>
      <c r="H475">
        <v>81</v>
      </c>
      <c r="I475" t="str">
        <f>_xlfn.XLOOKUP($C475,dim_campaigns!$D$2:$D$3,dim_campaigns!$A$2:$A$3,"",0)</f>
        <v>Diwali</v>
      </c>
      <c r="J475" s="6">
        <f t="shared" si="14"/>
        <v>-4.7058823529411764E-2</v>
      </c>
      <c r="K475">
        <f t="shared" si="15"/>
        <v>60486.25</v>
      </c>
      <c r="L475" t="str">
        <f>VLOOKUP($B475,dim_stores!$A$1:$C$51,2,0)</f>
        <v>Chennai</v>
      </c>
    </row>
    <row r="476" spans="1:12" x14ac:dyDescent="0.3">
      <c r="A476" t="s">
        <v>520</v>
      </c>
      <c r="B476" t="s">
        <v>89</v>
      </c>
      <c r="C476" t="s">
        <v>15</v>
      </c>
      <c r="D476" t="s">
        <v>11</v>
      </c>
      <c r="E476">
        <v>190</v>
      </c>
      <c r="F476" t="s">
        <v>12</v>
      </c>
      <c r="G476">
        <v>50</v>
      </c>
      <c r="H476">
        <v>64</v>
      </c>
      <c r="I476" t="str">
        <f>_xlfn.XLOOKUP($C476,dim_campaigns!$D$2:$D$3,dim_campaigns!$A$2:$A$3,"",0)</f>
        <v>Diwali</v>
      </c>
      <c r="J476" s="6">
        <f t="shared" si="14"/>
        <v>0.28000000000000003</v>
      </c>
      <c r="K476">
        <f t="shared" si="15"/>
        <v>15580</v>
      </c>
      <c r="L476" t="str">
        <f>VLOOKUP($B476,dim_stores!$A$1:$C$51,2,0)</f>
        <v>Vijayawada</v>
      </c>
    </row>
    <row r="477" spans="1:12" x14ac:dyDescent="0.3">
      <c r="A477" t="s">
        <v>521</v>
      </c>
      <c r="B477" t="s">
        <v>193</v>
      </c>
      <c r="C477" t="s">
        <v>10</v>
      </c>
      <c r="D477" t="s">
        <v>48</v>
      </c>
      <c r="E477">
        <v>62</v>
      </c>
      <c r="F477" t="s">
        <v>12</v>
      </c>
      <c r="G477">
        <v>54</v>
      </c>
      <c r="H477">
        <v>77</v>
      </c>
      <c r="I477" t="str">
        <f>_xlfn.XLOOKUP($C477,dim_campaigns!$D$2:$D$3,dim_campaigns!$A$2:$A$3,"",0)</f>
        <v>Sankranti</v>
      </c>
      <c r="J477" s="6">
        <f t="shared" si="14"/>
        <v>0.42592592592592593</v>
      </c>
      <c r="K477">
        <f t="shared" si="15"/>
        <v>5735</v>
      </c>
      <c r="L477" t="str">
        <f>VLOOKUP($B477,dim_stores!$A$1:$C$51,2,0)</f>
        <v>Bengaluru</v>
      </c>
    </row>
    <row r="478" spans="1:12" x14ac:dyDescent="0.3">
      <c r="A478" t="s">
        <v>522</v>
      </c>
      <c r="B478" t="s">
        <v>9</v>
      </c>
      <c r="C478" t="s">
        <v>10</v>
      </c>
      <c r="D478" t="s">
        <v>38</v>
      </c>
      <c r="E478">
        <v>1190</v>
      </c>
      <c r="F478" t="s">
        <v>21</v>
      </c>
      <c r="G478">
        <v>40</v>
      </c>
      <c r="H478">
        <v>168</v>
      </c>
      <c r="I478" t="str">
        <f>_xlfn.XLOOKUP($C478,dim_campaigns!$D$2:$D$3,dim_campaigns!$A$2:$A$3,"",0)</f>
        <v>Sankranti</v>
      </c>
      <c r="J478" s="6">
        <f t="shared" si="14"/>
        <v>3.2</v>
      </c>
      <c r="K478">
        <f t="shared" si="15"/>
        <v>147560</v>
      </c>
      <c r="L478" t="str">
        <f>VLOOKUP($B478,dim_stores!$A$1:$C$51,2,0)</f>
        <v>Coimbatore</v>
      </c>
    </row>
    <row r="479" spans="1:12" x14ac:dyDescent="0.3">
      <c r="A479" t="s">
        <v>523</v>
      </c>
      <c r="B479" t="s">
        <v>91</v>
      </c>
      <c r="C479" t="s">
        <v>10</v>
      </c>
      <c r="D479" t="s">
        <v>11</v>
      </c>
      <c r="E479">
        <v>190</v>
      </c>
      <c r="F479" t="s">
        <v>12</v>
      </c>
      <c r="G479">
        <v>46</v>
      </c>
      <c r="H479">
        <v>73</v>
      </c>
      <c r="I479" t="str">
        <f>_xlfn.XLOOKUP($C479,dim_campaigns!$D$2:$D$3,dim_campaigns!$A$2:$A$3,"",0)</f>
        <v>Sankranti</v>
      </c>
      <c r="J479" s="6">
        <f t="shared" si="14"/>
        <v>0.58695652173913049</v>
      </c>
      <c r="K479">
        <f t="shared" si="15"/>
        <v>15675</v>
      </c>
      <c r="L479" t="str">
        <f>VLOOKUP($B479,dim_stores!$A$1:$C$51,2,0)</f>
        <v>Hyderabad</v>
      </c>
    </row>
    <row r="480" spans="1:12" x14ac:dyDescent="0.3">
      <c r="A480" t="s">
        <v>524</v>
      </c>
      <c r="B480" t="s">
        <v>70</v>
      </c>
      <c r="C480" t="s">
        <v>15</v>
      </c>
      <c r="D480" t="s">
        <v>28</v>
      </c>
      <c r="E480">
        <v>55</v>
      </c>
      <c r="F480" t="s">
        <v>17</v>
      </c>
      <c r="G480">
        <v>127</v>
      </c>
      <c r="H480">
        <v>115</v>
      </c>
      <c r="I480" t="str">
        <f>_xlfn.XLOOKUP($C480,dim_campaigns!$D$2:$D$3,dim_campaigns!$A$2:$A$3,"",0)</f>
        <v>Diwali</v>
      </c>
      <c r="J480" s="6">
        <f t="shared" si="14"/>
        <v>-9.4488188976377951E-2</v>
      </c>
      <c r="K480">
        <f t="shared" si="15"/>
        <v>11728.75</v>
      </c>
      <c r="L480" t="str">
        <f>VLOOKUP($B480,dim_stores!$A$1:$C$51,2,0)</f>
        <v>Chennai</v>
      </c>
    </row>
    <row r="481" spans="1:12" x14ac:dyDescent="0.3">
      <c r="A481" t="s">
        <v>525</v>
      </c>
      <c r="B481" t="s">
        <v>119</v>
      </c>
      <c r="C481" t="s">
        <v>15</v>
      </c>
      <c r="D481" t="s">
        <v>85</v>
      </c>
      <c r="E481">
        <v>110</v>
      </c>
      <c r="F481" t="s">
        <v>12</v>
      </c>
      <c r="G481">
        <v>73</v>
      </c>
      <c r="H481">
        <v>92</v>
      </c>
      <c r="I481" t="str">
        <f>_xlfn.XLOOKUP($C481,dim_campaigns!$D$2:$D$3,dim_campaigns!$A$2:$A$3,"",0)</f>
        <v>Diwali</v>
      </c>
      <c r="J481" s="6">
        <f t="shared" si="14"/>
        <v>0.26027397260273971</v>
      </c>
      <c r="K481">
        <f t="shared" si="15"/>
        <v>13090</v>
      </c>
      <c r="L481" t="str">
        <f>VLOOKUP($B481,dim_stores!$A$1:$C$51,2,0)</f>
        <v>Chennai</v>
      </c>
    </row>
    <row r="482" spans="1:12" x14ac:dyDescent="0.3">
      <c r="A482" t="s">
        <v>526</v>
      </c>
      <c r="B482" t="s">
        <v>107</v>
      </c>
      <c r="C482" t="s">
        <v>15</v>
      </c>
      <c r="D482" t="s">
        <v>85</v>
      </c>
      <c r="E482">
        <v>110</v>
      </c>
      <c r="F482" t="s">
        <v>12</v>
      </c>
      <c r="G482">
        <v>59</v>
      </c>
      <c r="H482">
        <v>89</v>
      </c>
      <c r="I482" t="str">
        <f>_xlfn.XLOOKUP($C482,dim_campaigns!$D$2:$D$3,dim_campaigns!$A$2:$A$3,"",0)</f>
        <v>Diwali</v>
      </c>
      <c r="J482" s="6">
        <f t="shared" si="14"/>
        <v>0.50847457627118642</v>
      </c>
      <c r="K482">
        <f t="shared" si="15"/>
        <v>11385</v>
      </c>
      <c r="L482" t="str">
        <f>VLOOKUP($B482,dim_stores!$A$1:$C$51,2,0)</f>
        <v>Coimbatore</v>
      </c>
    </row>
    <row r="483" spans="1:12" x14ac:dyDescent="0.3">
      <c r="A483" t="s">
        <v>527</v>
      </c>
      <c r="B483" t="s">
        <v>31</v>
      </c>
      <c r="C483" t="s">
        <v>10</v>
      </c>
      <c r="D483" t="s">
        <v>35</v>
      </c>
      <c r="E483">
        <v>350</v>
      </c>
      <c r="F483" t="s">
        <v>21</v>
      </c>
      <c r="G483">
        <v>94</v>
      </c>
      <c r="H483">
        <v>374</v>
      </c>
      <c r="I483" t="str">
        <f>_xlfn.XLOOKUP($C483,dim_campaigns!$D$2:$D$3,dim_campaigns!$A$2:$A$3,"",0)</f>
        <v>Sankranti</v>
      </c>
      <c r="J483" s="6">
        <f t="shared" si="14"/>
        <v>2.978723404255319</v>
      </c>
      <c r="K483">
        <f t="shared" si="15"/>
        <v>98350</v>
      </c>
      <c r="L483" t="str">
        <f>VLOOKUP($B483,dim_stores!$A$1:$C$51,2,0)</f>
        <v>Visakhapatnam</v>
      </c>
    </row>
    <row r="484" spans="1:12" x14ac:dyDescent="0.3">
      <c r="A484" t="s">
        <v>528</v>
      </c>
      <c r="B484" t="s">
        <v>56</v>
      </c>
      <c r="C484" t="s">
        <v>15</v>
      </c>
      <c r="D484" t="s">
        <v>53</v>
      </c>
      <c r="E484">
        <v>860</v>
      </c>
      <c r="F484" t="s">
        <v>54</v>
      </c>
      <c r="G484">
        <v>411</v>
      </c>
      <c r="H484">
        <v>509</v>
      </c>
      <c r="I484" t="str">
        <f>_xlfn.XLOOKUP($C484,dim_campaigns!$D$2:$D$3,dim_campaigns!$A$2:$A$3,"",0)</f>
        <v>Diwali</v>
      </c>
      <c r="J484" s="6">
        <f t="shared" si="14"/>
        <v>0.23844282238442821</v>
      </c>
      <c r="K484">
        <f t="shared" si="15"/>
        <v>646745.80000000005</v>
      </c>
      <c r="L484" t="str">
        <f>VLOOKUP($B484,dim_stores!$A$1:$C$51,2,0)</f>
        <v>Chennai</v>
      </c>
    </row>
    <row r="485" spans="1:12" x14ac:dyDescent="0.3">
      <c r="A485" t="s">
        <v>529</v>
      </c>
      <c r="B485" t="s">
        <v>193</v>
      </c>
      <c r="C485" t="s">
        <v>15</v>
      </c>
      <c r="D485" t="s">
        <v>32</v>
      </c>
      <c r="E485">
        <v>65</v>
      </c>
      <c r="F485" t="s">
        <v>12</v>
      </c>
      <c r="G485">
        <v>105</v>
      </c>
      <c r="H485">
        <v>132</v>
      </c>
      <c r="I485" t="str">
        <f>_xlfn.XLOOKUP($C485,dim_campaigns!$D$2:$D$3,dim_campaigns!$A$2:$A$3,"",0)</f>
        <v>Diwali</v>
      </c>
      <c r="J485" s="6">
        <f t="shared" si="14"/>
        <v>0.25714285714285712</v>
      </c>
      <c r="K485">
        <f t="shared" si="15"/>
        <v>11115</v>
      </c>
      <c r="L485" t="str">
        <f>VLOOKUP($B485,dim_stores!$A$1:$C$51,2,0)</f>
        <v>Bengaluru</v>
      </c>
    </row>
    <row r="486" spans="1:12" x14ac:dyDescent="0.3">
      <c r="A486" t="s">
        <v>530</v>
      </c>
      <c r="B486" t="s">
        <v>107</v>
      </c>
      <c r="C486" t="s">
        <v>10</v>
      </c>
      <c r="D486" t="s">
        <v>43</v>
      </c>
      <c r="E486">
        <v>415</v>
      </c>
      <c r="F486" t="s">
        <v>17</v>
      </c>
      <c r="G486">
        <v>15</v>
      </c>
      <c r="H486">
        <v>14</v>
      </c>
      <c r="I486" t="str">
        <f>_xlfn.XLOOKUP($C486,dim_campaigns!$D$2:$D$3,dim_campaigns!$A$2:$A$3,"",0)</f>
        <v>Sankranti</v>
      </c>
      <c r="J486" s="6">
        <f t="shared" si="14"/>
        <v>-6.6666666666666666E-2</v>
      </c>
      <c r="K486">
        <f t="shared" si="15"/>
        <v>10582.5</v>
      </c>
      <c r="L486" t="str">
        <f>VLOOKUP($B486,dim_stores!$A$1:$C$51,2,0)</f>
        <v>Coimbatore</v>
      </c>
    </row>
    <row r="487" spans="1:12" x14ac:dyDescent="0.3">
      <c r="A487" t="s">
        <v>531</v>
      </c>
      <c r="B487" t="s">
        <v>119</v>
      </c>
      <c r="C487" t="s">
        <v>10</v>
      </c>
      <c r="D487" t="s">
        <v>32</v>
      </c>
      <c r="E487">
        <v>50</v>
      </c>
      <c r="F487" t="s">
        <v>17</v>
      </c>
      <c r="G487">
        <v>31</v>
      </c>
      <c r="H487">
        <v>26</v>
      </c>
      <c r="I487" t="str">
        <f>_xlfn.XLOOKUP($C487,dim_campaigns!$D$2:$D$3,dim_campaigns!$A$2:$A$3,"",0)</f>
        <v>Sankranti</v>
      </c>
      <c r="J487" s="6">
        <f t="shared" si="14"/>
        <v>-0.16129032258064516</v>
      </c>
      <c r="K487">
        <f t="shared" si="15"/>
        <v>2525</v>
      </c>
      <c r="L487" t="str">
        <f>VLOOKUP($B487,dim_stores!$A$1:$C$51,2,0)</f>
        <v>Chennai</v>
      </c>
    </row>
    <row r="488" spans="1:12" x14ac:dyDescent="0.3">
      <c r="A488" t="s">
        <v>532</v>
      </c>
      <c r="B488" t="s">
        <v>70</v>
      </c>
      <c r="C488" t="s">
        <v>10</v>
      </c>
      <c r="D488" t="s">
        <v>24</v>
      </c>
      <c r="E488">
        <v>3000</v>
      </c>
      <c r="F488" t="s">
        <v>25</v>
      </c>
      <c r="G488">
        <v>112</v>
      </c>
      <c r="H488">
        <v>321</v>
      </c>
      <c r="I488" t="str">
        <f>_xlfn.XLOOKUP($C488,dim_campaigns!$D$2:$D$3,dim_campaigns!$A$2:$A$3,"",0)</f>
        <v>Sankranti</v>
      </c>
      <c r="J488" s="6">
        <f t="shared" si="14"/>
        <v>1.8660714285714286</v>
      </c>
      <c r="K488">
        <f t="shared" si="15"/>
        <v>1138500</v>
      </c>
      <c r="L488" t="str">
        <f>VLOOKUP($B488,dim_stores!$A$1:$C$51,2,0)</f>
        <v>Chennai</v>
      </c>
    </row>
    <row r="489" spans="1:12" x14ac:dyDescent="0.3">
      <c r="A489" t="s">
        <v>533</v>
      </c>
      <c r="B489" t="s">
        <v>142</v>
      </c>
      <c r="C489" t="s">
        <v>10</v>
      </c>
      <c r="D489" t="s">
        <v>11</v>
      </c>
      <c r="E489">
        <v>190</v>
      </c>
      <c r="F489" t="s">
        <v>12</v>
      </c>
      <c r="G489">
        <v>28</v>
      </c>
      <c r="H489">
        <v>40</v>
      </c>
      <c r="I489" t="str">
        <f>_xlfn.XLOOKUP($C489,dim_campaigns!$D$2:$D$3,dim_campaigns!$A$2:$A$3,"",0)</f>
        <v>Sankranti</v>
      </c>
      <c r="J489" s="6">
        <f t="shared" si="14"/>
        <v>0.42857142857142855</v>
      </c>
      <c r="K489">
        <f t="shared" si="15"/>
        <v>9120</v>
      </c>
      <c r="L489" t="str">
        <f>VLOOKUP($B489,dim_stores!$A$1:$C$51,2,0)</f>
        <v>Madurai</v>
      </c>
    </row>
    <row r="490" spans="1:12" x14ac:dyDescent="0.3">
      <c r="A490" t="s">
        <v>534</v>
      </c>
      <c r="B490" t="s">
        <v>113</v>
      </c>
      <c r="C490" t="s">
        <v>15</v>
      </c>
      <c r="D490" t="s">
        <v>68</v>
      </c>
      <c r="E490">
        <v>1020</v>
      </c>
      <c r="F490" t="s">
        <v>21</v>
      </c>
      <c r="G490">
        <v>43</v>
      </c>
      <c r="H490">
        <v>125</v>
      </c>
      <c r="I490" t="str">
        <f>_xlfn.XLOOKUP($C490,dim_campaigns!$D$2:$D$3,dim_campaigns!$A$2:$A$3,"",0)</f>
        <v>Diwali</v>
      </c>
      <c r="J490" s="6">
        <f t="shared" si="14"/>
        <v>1.9069767441860466</v>
      </c>
      <c r="K490">
        <f t="shared" si="15"/>
        <v>107610</v>
      </c>
      <c r="L490" t="str">
        <f>VLOOKUP($B490,dim_stores!$A$1:$C$51,2,0)</f>
        <v>Chennai</v>
      </c>
    </row>
    <row r="491" spans="1:12" x14ac:dyDescent="0.3">
      <c r="A491" t="s">
        <v>535</v>
      </c>
      <c r="B491" t="s">
        <v>70</v>
      </c>
      <c r="C491" t="s">
        <v>10</v>
      </c>
      <c r="D491" t="s">
        <v>20</v>
      </c>
      <c r="E491">
        <v>300</v>
      </c>
      <c r="F491" t="s">
        <v>21</v>
      </c>
      <c r="G491">
        <v>45</v>
      </c>
      <c r="H491">
        <v>191</v>
      </c>
      <c r="I491" t="str">
        <f>_xlfn.XLOOKUP($C491,dim_campaigns!$D$2:$D$3,dim_campaigns!$A$2:$A$3,"",0)</f>
        <v>Sankranti</v>
      </c>
      <c r="J491" s="6">
        <f t="shared" si="14"/>
        <v>3.2444444444444445</v>
      </c>
      <c r="K491">
        <f t="shared" si="15"/>
        <v>42150</v>
      </c>
      <c r="L491" t="str">
        <f>VLOOKUP($B491,dim_stores!$A$1:$C$51,2,0)</f>
        <v>Chennai</v>
      </c>
    </row>
    <row r="492" spans="1:12" x14ac:dyDescent="0.3">
      <c r="A492" s="1">
        <v>35600000000</v>
      </c>
      <c r="B492" t="s">
        <v>75</v>
      </c>
      <c r="C492" t="s">
        <v>10</v>
      </c>
      <c r="D492" t="s">
        <v>38</v>
      </c>
      <c r="E492">
        <v>1190</v>
      </c>
      <c r="F492" t="s">
        <v>21</v>
      </c>
      <c r="G492">
        <v>36</v>
      </c>
      <c r="H492">
        <v>145</v>
      </c>
      <c r="I492" t="str">
        <f>_xlfn.XLOOKUP($C492,dim_campaigns!$D$2:$D$3,dim_campaigns!$A$2:$A$3,"",0)</f>
        <v>Sankranti</v>
      </c>
      <c r="J492" s="6">
        <f t="shared" si="14"/>
        <v>3.0277777777777777</v>
      </c>
      <c r="K492">
        <f t="shared" si="15"/>
        <v>129115</v>
      </c>
      <c r="L492" t="str">
        <f>VLOOKUP($B492,dim_stores!$A$1:$C$51,2,0)</f>
        <v>Madurai</v>
      </c>
    </row>
    <row r="493" spans="1:12" x14ac:dyDescent="0.3">
      <c r="A493" t="s">
        <v>536</v>
      </c>
      <c r="B493" t="s">
        <v>50</v>
      </c>
      <c r="C493" t="s">
        <v>15</v>
      </c>
      <c r="D493" t="s">
        <v>61</v>
      </c>
      <c r="E493">
        <v>172</v>
      </c>
      <c r="F493" t="s">
        <v>54</v>
      </c>
      <c r="G493">
        <v>287</v>
      </c>
      <c r="H493">
        <v>413</v>
      </c>
      <c r="I493" t="str">
        <f>_xlfn.XLOOKUP($C493,dim_campaigns!$D$2:$D$3,dim_campaigns!$A$2:$A$3,"",0)</f>
        <v>Diwali</v>
      </c>
      <c r="J493" s="6">
        <f t="shared" si="14"/>
        <v>0.43902439024390244</v>
      </c>
      <c r="K493">
        <f t="shared" si="15"/>
        <v>96958.12</v>
      </c>
      <c r="L493" t="str">
        <f>VLOOKUP($B493,dim_stores!$A$1:$C$51,2,0)</f>
        <v>Bengaluru</v>
      </c>
    </row>
    <row r="494" spans="1:12" x14ac:dyDescent="0.3">
      <c r="A494" t="s">
        <v>537</v>
      </c>
      <c r="B494" t="s">
        <v>95</v>
      </c>
      <c r="C494" t="s">
        <v>10</v>
      </c>
      <c r="D494" t="s">
        <v>16</v>
      </c>
      <c r="E494">
        <v>200</v>
      </c>
      <c r="F494" t="s">
        <v>21</v>
      </c>
      <c r="G494">
        <v>472</v>
      </c>
      <c r="H494">
        <v>1902</v>
      </c>
      <c r="I494" t="str">
        <f>_xlfn.XLOOKUP($C494,dim_campaigns!$D$2:$D$3,dim_campaigns!$A$2:$A$3,"",0)</f>
        <v>Sankranti</v>
      </c>
      <c r="J494" s="6">
        <f t="shared" si="14"/>
        <v>3.0296610169491527</v>
      </c>
      <c r="K494">
        <f t="shared" si="15"/>
        <v>284600</v>
      </c>
      <c r="L494" t="str">
        <f>VLOOKUP($B494,dim_stores!$A$1:$C$51,2,0)</f>
        <v>Hyderabad</v>
      </c>
    </row>
    <row r="495" spans="1:12" x14ac:dyDescent="0.3">
      <c r="A495" t="s">
        <v>538</v>
      </c>
      <c r="B495" t="s">
        <v>95</v>
      </c>
      <c r="C495" t="s">
        <v>15</v>
      </c>
      <c r="D495" t="s">
        <v>16</v>
      </c>
      <c r="E495">
        <v>156</v>
      </c>
      <c r="F495" t="s">
        <v>17</v>
      </c>
      <c r="G495">
        <v>357</v>
      </c>
      <c r="H495">
        <v>289</v>
      </c>
      <c r="I495" t="str">
        <f>_xlfn.XLOOKUP($C495,dim_campaigns!$D$2:$D$3,dim_campaigns!$A$2:$A$3,"",0)</f>
        <v>Diwali</v>
      </c>
      <c r="J495" s="6">
        <f t="shared" si="14"/>
        <v>-0.19047619047619047</v>
      </c>
      <c r="K495">
        <f t="shared" si="15"/>
        <v>89505</v>
      </c>
      <c r="L495" t="str">
        <f>VLOOKUP($B495,dim_stores!$A$1:$C$51,2,0)</f>
        <v>Hyderabad</v>
      </c>
    </row>
    <row r="496" spans="1:12" x14ac:dyDescent="0.3">
      <c r="A496" t="s">
        <v>539</v>
      </c>
      <c r="B496" t="s">
        <v>91</v>
      </c>
      <c r="C496" t="s">
        <v>10</v>
      </c>
      <c r="D496" t="s">
        <v>51</v>
      </c>
      <c r="E496">
        <v>370</v>
      </c>
      <c r="F496" t="s">
        <v>21</v>
      </c>
      <c r="G496">
        <v>416</v>
      </c>
      <c r="H496">
        <v>1085</v>
      </c>
      <c r="I496" t="str">
        <f>_xlfn.XLOOKUP($C496,dim_campaigns!$D$2:$D$3,dim_campaigns!$A$2:$A$3,"",0)</f>
        <v>Sankranti</v>
      </c>
      <c r="J496" s="6">
        <f t="shared" si="14"/>
        <v>1.6081730769230769</v>
      </c>
      <c r="K496">
        <f t="shared" si="15"/>
        <v>354645</v>
      </c>
      <c r="L496" t="str">
        <f>VLOOKUP($B496,dim_stores!$A$1:$C$51,2,0)</f>
        <v>Hyderabad</v>
      </c>
    </row>
    <row r="497" spans="1:12" x14ac:dyDescent="0.3">
      <c r="A497" t="s">
        <v>540</v>
      </c>
      <c r="B497" t="s">
        <v>207</v>
      </c>
      <c r="C497" t="s">
        <v>10</v>
      </c>
      <c r="D497" t="s">
        <v>38</v>
      </c>
      <c r="E497">
        <v>1190</v>
      </c>
      <c r="F497" t="s">
        <v>21</v>
      </c>
      <c r="G497">
        <v>46</v>
      </c>
      <c r="H497">
        <v>179</v>
      </c>
      <c r="I497" t="str">
        <f>_xlfn.XLOOKUP($C497,dim_campaigns!$D$2:$D$3,dim_campaigns!$A$2:$A$3,"",0)</f>
        <v>Sankranti</v>
      </c>
      <c r="J497" s="6">
        <f t="shared" si="14"/>
        <v>2.8913043478260869</v>
      </c>
      <c r="K497">
        <f t="shared" si="15"/>
        <v>161245</v>
      </c>
      <c r="L497" t="str">
        <f>VLOOKUP($B497,dim_stores!$A$1:$C$51,2,0)</f>
        <v>Hyderabad</v>
      </c>
    </row>
    <row r="498" spans="1:12" x14ac:dyDescent="0.3">
      <c r="A498" t="s">
        <v>541</v>
      </c>
      <c r="B498" t="s">
        <v>99</v>
      </c>
      <c r="C498" t="s">
        <v>15</v>
      </c>
      <c r="D498" t="s">
        <v>38</v>
      </c>
      <c r="E498">
        <v>1190</v>
      </c>
      <c r="F498" t="s">
        <v>21</v>
      </c>
      <c r="G498">
        <v>29</v>
      </c>
      <c r="H498">
        <v>96</v>
      </c>
      <c r="I498" t="str">
        <f>_xlfn.XLOOKUP($C498,dim_campaigns!$D$2:$D$3,dim_campaigns!$A$2:$A$3,"",0)</f>
        <v>Diwali</v>
      </c>
      <c r="J498" s="6">
        <f t="shared" si="14"/>
        <v>2.3103448275862069</v>
      </c>
      <c r="K498">
        <f t="shared" si="15"/>
        <v>91630</v>
      </c>
      <c r="L498" t="str">
        <f>VLOOKUP($B498,dim_stores!$A$1:$C$51,2,0)</f>
        <v>Coimbatore</v>
      </c>
    </row>
    <row r="499" spans="1:12" x14ac:dyDescent="0.3">
      <c r="A499" t="s">
        <v>542</v>
      </c>
      <c r="B499" t="s">
        <v>84</v>
      </c>
      <c r="C499" t="s">
        <v>15</v>
      </c>
      <c r="D499" t="s">
        <v>24</v>
      </c>
      <c r="E499">
        <v>3000</v>
      </c>
      <c r="F499" t="s">
        <v>25</v>
      </c>
      <c r="G499">
        <v>449</v>
      </c>
      <c r="H499">
        <v>1499</v>
      </c>
      <c r="I499" t="str">
        <f>_xlfn.XLOOKUP($C499,dim_campaigns!$D$2:$D$3,dim_campaigns!$A$2:$A$3,"",0)</f>
        <v>Diwali</v>
      </c>
      <c r="J499" s="6">
        <f t="shared" si="14"/>
        <v>2.338530066815145</v>
      </c>
      <c r="K499">
        <f t="shared" si="15"/>
        <v>5094500</v>
      </c>
      <c r="L499" t="str">
        <f>VLOOKUP($B499,dim_stores!$A$1:$C$51,2,0)</f>
        <v>Mysuru</v>
      </c>
    </row>
    <row r="500" spans="1:12" x14ac:dyDescent="0.3">
      <c r="A500" t="s">
        <v>543</v>
      </c>
      <c r="B500" t="s">
        <v>70</v>
      </c>
      <c r="C500" t="s">
        <v>15</v>
      </c>
      <c r="D500" t="s">
        <v>32</v>
      </c>
      <c r="E500">
        <v>65</v>
      </c>
      <c r="F500" t="s">
        <v>12</v>
      </c>
      <c r="G500">
        <v>127</v>
      </c>
      <c r="H500">
        <v>168</v>
      </c>
      <c r="I500" t="str">
        <f>_xlfn.XLOOKUP($C500,dim_campaigns!$D$2:$D$3,dim_campaigns!$A$2:$A$3,"",0)</f>
        <v>Diwali</v>
      </c>
      <c r="J500" s="6">
        <f t="shared" si="14"/>
        <v>0.32283464566929132</v>
      </c>
      <c r="K500">
        <f t="shared" si="15"/>
        <v>13715</v>
      </c>
      <c r="L500" t="str">
        <f>VLOOKUP($B500,dim_stores!$A$1:$C$51,2,0)</f>
        <v>Chennai</v>
      </c>
    </row>
    <row r="501" spans="1:12" x14ac:dyDescent="0.3">
      <c r="A501" t="s">
        <v>544</v>
      </c>
      <c r="B501" t="s">
        <v>84</v>
      </c>
      <c r="C501" t="s">
        <v>10</v>
      </c>
      <c r="D501" t="s">
        <v>43</v>
      </c>
      <c r="E501">
        <v>415</v>
      </c>
      <c r="F501" t="s">
        <v>17</v>
      </c>
      <c r="G501">
        <v>19</v>
      </c>
      <c r="H501">
        <v>14</v>
      </c>
      <c r="I501" t="str">
        <f>_xlfn.XLOOKUP($C501,dim_campaigns!$D$2:$D$3,dim_campaigns!$A$2:$A$3,"",0)</f>
        <v>Sankranti</v>
      </c>
      <c r="J501" s="6">
        <f t="shared" si="14"/>
        <v>-0.26315789473684209</v>
      </c>
      <c r="K501">
        <f t="shared" si="15"/>
        <v>12242.5</v>
      </c>
      <c r="L501" t="str">
        <f>VLOOKUP($B501,dim_stores!$A$1:$C$51,2,0)</f>
        <v>Mysuru</v>
      </c>
    </row>
    <row r="502" spans="1:12" x14ac:dyDescent="0.3">
      <c r="A502" t="s">
        <v>545</v>
      </c>
      <c r="B502" t="s">
        <v>40</v>
      </c>
      <c r="C502" t="s">
        <v>10</v>
      </c>
      <c r="D502" t="s">
        <v>32</v>
      </c>
      <c r="E502">
        <v>50</v>
      </c>
      <c r="F502" t="s">
        <v>17</v>
      </c>
      <c r="G502">
        <v>21</v>
      </c>
      <c r="H502">
        <v>17</v>
      </c>
      <c r="I502" t="str">
        <f>_xlfn.XLOOKUP($C502,dim_campaigns!$D$2:$D$3,dim_campaigns!$A$2:$A$3,"",0)</f>
        <v>Sankranti</v>
      </c>
      <c r="J502" s="6">
        <f t="shared" si="14"/>
        <v>-0.19047619047619047</v>
      </c>
      <c r="K502">
        <f t="shared" si="15"/>
        <v>1687.5</v>
      </c>
      <c r="L502" t="str">
        <f>VLOOKUP($B502,dim_stores!$A$1:$C$51,2,0)</f>
        <v>Madurai</v>
      </c>
    </row>
    <row r="503" spans="1:12" x14ac:dyDescent="0.3">
      <c r="A503" t="s">
        <v>546</v>
      </c>
      <c r="B503" t="s">
        <v>58</v>
      </c>
      <c r="C503" t="s">
        <v>15</v>
      </c>
      <c r="D503" t="s">
        <v>38</v>
      </c>
      <c r="E503">
        <v>1190</v>
      </c>
      <c r="F503" t="s">
        <v>21</v>
      </c>
      <c r="G503">
        <v>45</v>
      </c>
      <c r="H503">
        <v>149</v>
      </c>
      <c r="I503" t="str">
        <f>_xlfn.XLOOKUP($C503,dim_campaigns!$D$2:$D$3,dim_campaigns!$A$2:$A$3,"",0)</f>
        <v>Diwali</v>
      </c>
      <c r="J503" s="6">
        <f t="shared" si="14"/>
        <v>2.3111111111111109</v>
      </c>
      <c r="K503">
        <f t="shared" si="15"/>
        <v>142205</v>
      </c>
      <c r="L503" t="str">
        <f>VLOOKUP($B503,dim_stores!$A$1:$C$51,2,0)</f>
        <v>Chennai</v>
      </c>
    </row>
    <row r="504" spans="1:12" x14ac:dyDescent="0.3">
      <c r="A504" t="s">
        <v>547</v>
      </c>
      <c r="B504" t="s">
        <v>113</v>
      </c>
      <c r="C504" t="s">
        <v>10</v>
      </c>
      <c r="D504" t="s">
        <v>48</v>
      </c>
      <c r="E504">
        <v>62</v>
      </c>
      <c r="F504" t="s">
        <v>12</v>
      </c>
      <c r="G504">
        <v>57</v>
      </c>
      <c r="H504">
        <v>66</v>
      </c>
      <c r="I504" t="str">
        <f>_xlfn.XLOOKUP($C504,dim_campaigns!$D$2:$D$3,dim_campaigns!$A$2:$A$3,"",0)</f>
        <v>Sankranti</v>
      </c>
      <c r="J504" s="6">
        <f t="shared" si="14"/>
        <v>0.15789473684210525</v>
      </c>
      <c r="K504">
        <f t="shared" si="15"/>
        <v>5580</v>
      </c>
      <c r="L504" t="str">
        <f>VLOOKUP($B504,dim_stores!$A$1:$C$51,2,0)</f>
        <v>Chennai</v>
      </c>
    </row>
    <row r="505" spans="1:12" x14ac:dyDescent="0.3">
      <c r="A505">
        <v>902903</v>
      </c>
      <c r="B505" t="s">
        <v>31</v>
      </c>
      <c r="C505" t="s">
        <v>15</v>
      </c>
      <c r="D505" t="s">
        <v>35</v>
      </c>
      <c r="E505">
        <v>350</v>
      </c>
      <c r="F505" t="s">
        <v>21</v>
      </c>
      <c r="G505">
        <v>49</v>
      </c>
      <c r="H505">
        <v>164</v>
      </c>
      <c r="I505" t="str">
        <f>_xlfn.XLOOKUP($C505,dim_campaigns!$D$2:$D$3,dim_campaigns!$A$2:$A$3,"",0)</f>
        <v>Diwali</v>
      </c>
      <c r="J505" s="6">
        <f t="shared" si="14"/>
        <v>2.3469387755102042</v>
      </c>
      <c r="K505">
        <f t="shared" si="15"/>
        <v>45850</v>
      </c>
      <c r="L505" t="str">
        <f>VLOOKUP($B505,dim_stores!$A$1:$C$51,2,0)</f>
        <v>Visakhapatnam</v>
      </c>
    </row>
    <row r="506" spans="1:12" x14ac:dyDescent="0.3">
      <c r="A506" t="s">
        <v>548</v>
      </c>
      <c r="B506" t="s">
        <v>113</v>
      </c>
      <c r="C506" t="s">
        <v>15</v>
      </c>
      <c r="D506" t="s">
        <v>51</v>
      </c>
      <c r="E506">
        <v>290</v>
      </c>
      <c r="F506" t="s">
        <v>17</v>
      </c>
      <c r="G506">
        <v>327</v>
      </c>
      <c r="H506">
        <v>287</v>
      </c>
      <c r="I506" t="str">
        <f>_xlfn.XLOOKUP($C506,dim_campaigns!$D$2:$D$3,dim_campaigns!$A$2:$A$3,"",0)</f>
        <v>Diwali</v>
      </c>
      <c r="J506" s="6">
        <f t="shared" si="14"/>
        <v>-0.12232415902140673</v>
      </c>
      <c r="K506">
        <f t="shared" si="15"/>
        <v>157252.5</v>
      </c>
      <c r="L506" t="str">
        <f>VLOOKUP($B506,dim_stores!$A$1:$C$51,2,0)</f>
        <v>Chennai</v>
      </c>
    </row>
    <row r="507" spans="1:12" x14ac:dyDescent="0.3">
      <c r="A507" t="s">
        <v>549</v>
      </c>
      <c r="B507" t="s">
        <v>207</v>
      </c>
      <c r="C507" t="s">
        <v>15</v>
      </c>
      <c r="D507" t="s">
        <v>68</v>
      </c>
      <c r="E507">
        <v>1020</v>
      </c>
      <c r="F507" t="s">
        <v>21</v>
      </c>
      <c r="G507">
        <v>47</v>
      </c>
      <c r="H507">
        <v>163</v>
      </c>
      <c r="I507" t="str">
        <f>_xlfn.XLOOKUP($C507,dim_campaigns!$D$2:$D$3,dim_campaigns!$A$2:$A$3,"",0)</f>
        <v>Diwali</v>
      </c>
      <c r="J507" s="6">
        <f t="shared" si="14"/>
        <v>2.4680851063829787</v>
      </c>
      <c r="K507">
        <f t="shared" si="15"/>
        <v>131070</v>
      </c>
      <c r="L507" t="str">
        <f>VLOOKUP($B507,dim_stores!$A$1:$C$51,2,0)</f>
        <v>Hyderabad</v>
      </c>
    </row>
    <row r="508" spans="1:12" x14ac:dyDescent="0.3">
      <c r="A508" t="s">
        <v>550</v>
      </c>
      <c r="B508" t="s">
        <v>19</v>
      </c>
      <c r="C508" t="s">
        <v>15</v>
      </c>
      <c r="D508" t="s">
        <v>85</v>
      </c>
      <c r="E508">
        <v>110</v>
      </c>
      <c r="F508" t="s">
        <v>12</v>
      </c>
      <c r="G508">
        <v>40</v>
      </c>
      <c r="H508">
        <v>54</v>
      </c>
      <c r="I508" t="str">
        <f>_xlfn.XLOOKUP($C508,dim_campaigns!$D$2:$D$3,dim_campaigns!$A$2:$A$3,"",0)</f>
        <v>Diwali</v>
      </c>
      <c r="J508" s="6">
        <f t="shared" si="14"/>
        <v>0.35</v>
      </c>
      <c r="K508">
        <f t="shared" si="15"/>
        <v>7370</v>
      </c>
      <c r="L508" t="str">
        <f>VLOOKUP($B508,dim_stores!$A$1:$C$51,2,0)</f>
        <v>Vijayawada</v>
      </c>
    </row>
    <row r="509" spans="1:12" x14ac:dyDescent="0.3">
      <c r="A509" t="s">
        <v>551</v>
      </c>
      <c r="B509" t="s">
        <v>190</v>
      </c>
      <c r="C509" t="s">
        <v>15</v>
      </c>
      <c r="D509" t="s">
        <v>32</v>
      </c>
      <c r="E509">
        <v>65</v>
      </c>
      <c r="F509" t="s">
        <v>12</v>
      </c>
      <c r="G509">
        <v>84</v>
      </c>
      <c r="H509">
        <v>127</v>
      </c>
      <c r="I509" t="str">
        <f>_xlfn.XLOOKUP($C509,dim_campaigns!$D$2:$D$3,dim_campaigns!$A$2:$A$3,"",0)</f>
        <v>Diwali</v>
      </c>
      <c r="J509" s="6">
        <f t="shared" si="14"/>
        <v>0.51190476190476186</v>
      </c>
      <c r="K509">
        <f t="shared" si="15"/>
        <v>9587.5</v>
      </c>
      <c r="L509" t="str">
        <f>VLOOKUP($B509,dim_stores!$A$1:$C$51,2,0)</f>
        <v>Visakhapatnam</v>
      </c>
    </row>
    <row r="510" spans="1:12" x14ac:dyDescent="0.3">
      <c r="A510" t="s">
        <v>552</v>
      </c>
      <c r="B510" t="s">
        <v>115</v>
      </c>
      <c r="C510" t="s">
        <v>15</v>
      </c>
      <c r="D510" t="s">
        <v>68</v>
      </c>
      <c r="E510">
        <v>1020</v>
      </c>
      <c r="F510" t="s">
        <v>21</v>
      </c>
      <c r="G510">
        <v>45</v>
      </c>
      <c r="H510">
        <v>153</v>
      </c>
      <c r="I510" t="str">
        <f>_xlfn.XLOOKUP($C510,dim_campaigns!$D$2:$D$3,dim_campaigns!$A$2:$A$3,"",0)</f>
        <v>Diwali</v>
      </c>
      <c r="J510" s="6">
        <f t="shared" si="14"/>
        <v>2.4</v>
      </c>
      <c r="K510">
        <f t="shared" si="15"/>
        <v>123930</v>
      </c>
      <c r="L510" t="str">
        <f>VLOOKUP($B510,dim_stores!$A$1:$C$51,2,0)</f>
        <v>Bengaluru</v>
      </c>
    </row>
    <row r="511" spans="1:12" x14ac:dyDescent="0.3">
      <c r="A511" t="s">
        <v>553</v>
      </c>
      <c r="B511" t="s">
        <v>115</v>
      </c>
      <c r="C511" t="s">
        <v>10</v>
      </c>
      <c r="D511" t="s">
        <v>53</v>
      </c>
      <c r="E511">
        <v>860</v>
      </c>
      <c r="F511" t="s">
        <v>54</v>
      </c>
      <c r="G511">
        <v>610</v>
      </c>
      <c r="H511">
        <v>847</v>
      </c>
      <c r="I511" t="str">
        <f>_xlfn.XLOOKUP($C511,dim_campaigns!$D$2:$D$3,dim_campaigns!$A$2:$A$3,"",0)</f>
        <v>Sankranti</v>
      </c>
      <c r="J511" s="6">
        <f t="shared" si="14"/>
        <v>0.38852459016393442</v>
      </c>
      <c r="K511">
        <f t="shared" si="15"/>
        <v>1012641.4</v>
      </c>
      <c r="L511" t="str">
        <f>VLOOKUP($B511,dim_stores!$A$1:$C$51,2,0)</f>
        <v>Bengaluru</v>
      </c>
    </row>
    <row r="512" spans="1:12" x14ac:dyDescent="0.3">
      <c r="A512" t="s">
        <v>554</v>
      </c>
      <c r="B512" t="s">
        <v>60</v>
      </c>
      <c r="C512" t="s">
        <v>15</v>
      </c>
      <c r="D512" t="s">
        <v>28</v>
      </c>
      <c r="E512">
        <v>55</v>
      </c>
      <c r="F512" t="s">
        <v>17</v>
      </c>
      <c r="G512">
        <v>61</v>
      </c>
      <c r="H512">
        <v>59</v>
      </c>
      <c r="I512" t="str">
        <f>_xlfn.XLOOKUP($C512,dim_campaigns!$D$2:$D$3,dim_campaigns!$A$2:$A$3,"",0)</f>
        <v>Diwali</v>
      </c>
      <c r="J512" s="6">
        <f t="shared" si="14"/>
        <v>-3.2786885245901641E-2</v>
      </c>
      <c r="K512">
        <f t="shared" si="15"/>
        <v>5788.75</v>
      </c>
      <c r="L512" t="str">
        <f>VLOOKUP($B512,dim_stores!$A$1:$C$51,2,0)</f>
        <v>Trivandrum</v>
      </c>
    </row>
    <row r="513" spans="1:12" x14ac:dyDescent="0.3">
      <c r="A513" t="s">
        <v>555</v>
      </c>
      <c r="B513" t="s">
        <v>63</v>
      </c>
      <c r="C513" t="s">
        <v>15</v>
      </c>
      <c r="D513" t="s">
        <v>24</v>
      </c>
      <c r="E513">
        <v>3000</v>
      </c>
      <c r="F513" t="s">
        <v>25</v>
      </c>
      <c r="G513">
        <v>301</v>
      </c>
      <c r="H513">
        <v>869</v>
      </c>
      <c r="I513" t="str">
        <f>_xlfn.XLOOKUP($C513,dim_campaigns!$D$2:$D$3,dim_campaigns!$A$2:$A$3,"",0)</f>
        <v>Diwali</v>
      </c>
      <c r="J513" s="6">
        <f t="shared" si="14"/>
        <v>1.8870431893687707</v>
      </c>
      <c r="K513">
        <f t="shared" si="15"/>
        <v>3075500</v>
      </c>
      <c r="L513" t="str">
        <f>VLOOKUP($B513,dim_stores!$A$1:$C$51,2,0)</f>
        <v>Visakhapatnam</v>
      </c>
    </row>
    <row r="514" spans="1:12" x14ac:dyDescent="0.3">
      <c r="A514" t="s">
        <v>556</v>
      </c>
      <c r="B514" t="s">
        <v>14</v>
      </c>
      <c r="C514" t="s">
        <v>15</v>
      </c>
      <c r="D514" t="s">
        <v>35</v>
      </c>
      <c r="E514">
        <v>350</v>
      </c>
      <c r="F514" t="s">
        <v>21</v>
      </c>
      <c r="G514">
        <v>66</v>
      </c>
      <c r="H514">
        <v>220</v>
      </c>
      <c r="I514" t="str">
        <f>_xlfn.XLOOKUP($C514,dim_campaigns!$D$2:$D$3,dim_campaigns!$A$2:$A$3,"",0)</f>
        <v>Diwali</v>
      </c>
      <c r="J514" s="6">
        <f t="shared" si="14"/>
        <v>2.3333333333333335</v>
      </c>
      <c r="K514">
        <f t="shared" si="15"/>
        <v>61600</v>
      </c>
      <c r="L514" t="str">
        <f>VLOOKUP($B514,dim_stores!$A$1:$C$51,2,0)</f>
        <v>Bengaluru</v>
      </c>
    </row>
    <row r="515" spans="1:12" x14ac:dyDescent="0.3">
      <c r="A515" t="s">
        <v>557</v>
      </c>
      <c r="B515" t="s">
        <v>40</v>
      </c>
      <c r="C515" t="s">
        <v>10</v>
      </c>
      <c r="D515" t="s">
        <v>24</v>
      </c>
      <c r="E515">
        <v>3000</v>
      </c>
      <c r="F515" t="s">
        <v>25</v>
      </c>
      <c r="G515">
        <v>106</v>
      </c>
      <c r="H515">
        <v>243</v>
      </c>
      <c r="I515" t="str">
        <f>_xlfn.XLOOKUP($C515,dim_campaigns!$D$2:$D$3,dim_campaigns!$A$2:$A$3,"",0)</f>
        <v>Sankranti</v>
      </c>
      <c r="J515" s="6">
        <f t="shared" ref="J515:J578" si="16">IFERROR((H515-G515)/G515,0)</f>
        <v>1.2924528301886793</v>
      </c>
      <c r="K515">
        <f t="shared" ref="K515:K578" si="17">E515*G515+(E515-IF(F515="500 Cashback",500,IF(F515="BOGOF",E515*50%,IF(F515="25% OFF",E515*25%,IF(F515="33% OFF",E515*33%,IF(F515="50% OFF",E515*50%,0))))))*H515</f>
        <v>925500</v>
      </c>
      <c r="L515" t="str">
        <f>VLOOKUP($B515,dim_stores!$A$1:$C$51,2,0)</f>
        <v>Madurai</v>
      </c>
    </row>
    <row r="516" spans="1:12" x14ac:dyDescent="0.3">
      <c r="A516" t="s">
        <v>558</v>
      </c>
      <c r="B516" t="s">
        <v>45</v>
      </c>
      <c r="C516" t="s">
        <v>15</v>
      </c>
      <c r="D516" t="s">
        <v>61</v>
      </c>
      <c r="E516">
        <v>172</v>
      </c>
      <c r="F516" t="s">
        <v>54</v>
      </c>
      <c r="G516">
        <v>320</v>
      </c>
      <c r="H516">
        <v>467</v>
      </c>
      <c r="I516" t="str">
        <f>_xlfn.XLOOKUP($C516,dim_campaigns!$D$2:$D$3,dim_campaigns!$A$2:$A$3,"",0)</f>
        <v>Diwali</v>
      </c>
      <c r="J516" s="6">
        <f t="shared" si="16"/>
        <v>0.45937499999999998</v>
      </c>
      <c r="K516">
        <f t="shared" si="17"/>
        <v>108857.07999999999</v>
      </c>
      <c r="L516" t="str">
        <f>VLOOKUP($B516,dim_stores!$A$1:$C$51,2,0)</f>
        <v>Hyderabad</v>
      </c>
    </row>
    <row r="517" spans="1:12" x14ac:dyDescent="0.3">
      <c r="A517" t="s">
        <v>559</v>
      </c>
      <c r="B517" t="s">
        <v>58</v>
      </c>
      <c r="C517" t="s">
        <v>10</v>
      </c>
      <c r="D517" t="s">
        <v>61</v>
      </c>
      <c r="E517">
        <v>172</v>
      </c>
      <c r="F517" t="s">
        <v>54</v>
      </c>
      <c r="G517">
        <v>303</v>
      </c>
      <c r="H517">
        <v>360</v>
      </c>
      <c r="I517" t="str">
        <f>_xlfn.XLOOKUP($C517,dim_campaigns!$D$2:$D$3,dim_campaigns!$A$2:$A$3,"",0)</f>
        <v>Sankranti</v>
      </c>
      <c r="J517" s="6">
        <f t="shared" si="16"/>
        <v>0.18811881188118812</v>
      </c>
      <c r="K517">
        <f t="shared" si="17"/>
        <v>93602.4</v>
      </c>
      <c r="L517" t="str">
        <f>VLOOKUP($B517,dim_stores!$A$1:$C$51,2,0)</f>
        <v>Chennai</v>
      </c>
    </row>
    <row r="518" spans="1:12" x14ac:dyDescent="0.3">
      <c r="A518" t="s">
        <v>560</v>
      </c>
      <c r="B518" t="s">
        <v>89</v>
      </c>
      <c r="C518" t="s">
        <v>15</v>
      </c>
      <c r="D518" t="s">
        <v>85</v>
      </c>
      <c r="E518">
        <v>110</v>
      </c>
      <c r="F518" t="s">
        <v>12</v>
      </c>
      <c r="G518">
        <v>49</v>
      </c>
      <c r="H518">
        <v>65</v>
      </c>
      <c r="I518" t="str">
        <f>_xlfn.XLOOKUP($C518,dim_campaigns!$D$2:$D$3,dim_campaigns!$A$2:$A$3,"",0)</f>
        <v>Diwali</v>
      </c>
      <c r="J518" s="6">
        <f t="shared" si="16"/>
        <v>0.32653061224489793</v>
      </c>
      <c r="K518">
        <f t="shared" si="17"/>
        <v>8965</v>
      </c>
      <c r="L518" t="str">
        <f>VLOOKUP($B518,dim_stores!$A$1:$C$51,2,0)</f>
        <v>Vijayawada</v>
      </c>
    </row>
    <row r="519" spans="1:12" x14ac:dyDescent="0.3">
      <c r="A519" t="s">
        <v>561</v>
      </c>
      <c r="B519" t="s">
        <v>65</v>
      </c>
      <c r="C519" t="s">
        <v>10</v>
      </c>
      <c r="D519" t="s">
        <v>28</v>
      </c>
      <c r="E519">
        <v>55</v>
      </c>
      <c r="F519" t="s">
        <v>17</v>
      </c>
      <c r="G519">
        <v>21</v>
      </c>
      <c r="H519">
        <v>18</v>
      </c>
      <c r="I519" t="str">
        <f>_xlfn.XLOOKUP($C519,dim_campaigns!$D$2:$D$3,dim_campaigns!$A$2:$A$3,"",0)</f>
        <v>Sankranti</v>
      </c>
      <c r="J519" s="6">
        <f t="shared" si="16"/>
        <v>-0.14285714285714285</v>
      </c>
      <c r="K519">
        <f t="shared" si="17"/>
        <v>1897.5</v>
      </c>
      <c r="L519" t="str">
        <f>VLOOKUP($B519,dim_stores!$A$1:$C$51,2,0)</f>
        <v>Hyderabad</v>
      </c>
    </row>
    <row r="520" spans="1:12" x14ac:dyDescent="0.3">
      <c r="A520" t="s">
        <v>562</v>
      </c>
      <c r="B520" t="s">
        <v>96</v>
      </c>
      <c r="C520" t="s">
        <v>15</v>
      </c>
      <c r="D520" t="s">
        <v>51</v>
      </c>
      <c r="E520">
        <v>290</v>
      </c>
      <c r="F520" t="s">
        <v>17</v>
      </c>
      <c r="G520">
        <v>383</v>
      </c>
      <c r="H520">
        <v>344</v>
      </c>
      <c r="I520" t="str">
        <f>_xlfn.XLOOKUP($C520,dim_campaigns!$D$2:$D$3,dim_campaigns!$A$2:$A$3,"",0)</f>
        <v>Diwali</v>
      </c>
      <c r="J520" s="6">
        <f t="shared" si="16"/>
        <v>-0.10182767624020887</v>
      </c>
      <c r="K520">
        <f t="shared" si="17"/>
        <v>185890</v>
      </c>
      <c r="L520" t="str">
        <f>VLOOKUP($B520,dim_stores!$A$1:$C$51,2,0)</f>
        <v>Mysuru</v>
      </c>
    </row>
    <row r="521" spans="1:12" x14ac:dyDescent="0.3">
      <c r="A521" t="s">
        <v>563</v>
      </c>
      <c r="B521" t="s">
        <v>29</v>
      </c>
      <c r="C521" t="s">
        <v>10</v>
      </c>
      <c r="D521" t="s">
        <v>43</v>
      </c>
      <c r="E521">
        <v>415</v>
      </c>
      <c r="F521" t="s">
        <v>17</v>
      </c>
      <c r="G521">
        <v>36</v>
      </c>
      <c r="H521">
        <v>29</v>
      </c>
      <c r="I521" t="str">
        <f>_xlfn.XLOOKUP($C521,dim_campaigns!$D$2:$D$3,dim_campaigns!$A$2:$A$3,"",0)</f>
        <v>Sankranti</v>
      </c>
      <c r="J521" s="6">
        <f t="shared" si="16"/>
        <v>-0.19444444444444445</v>
      </c>
      <c r="K521">
        <f t="shared" si="17"/>
        <v>23966.25</v>
      </c>
      <c r="L521" t="str">
        <f>VLOOKUP($B521,dim_stores!$A$1:$C$51,2,0)</f>
        <v>Bengaluru</v>
      </c>
    </row>
    <row r="522" spans="1:12" x14ac:dyDescent="0.3">
      <c r="A522" t="s">
        <v>564</v>
      </c>
      <c r="B522" t="s">
        <v>190</v>
      </c>
      <c r="C522" t="s">
        <v>10</v>
      </c>
      <c r="D522" t="s">
        <v>28</v>
      </c>
      <c r="E522">
        <v>55</v>
      </c>
      <c r="F522" t="s">
        <v>17</v>
      </c>
      <c r="G522">
        <v>18</v>
      </c>
      <c r="H522">
        <v>14</v>
      </c>
      <c r="I522" t="str">
        <f>_xlfn.XLOOKUP($C522,dim_campaigns!$D$2:$D$3,dim_campaigns!$A$2:$A$3,"",0)</f>
        <v>Sankranti</v>
      </c>
      <c r="J522" s="6">
        <f t="shared" si="16"/>
        <v>-0.22222222222222221</v>
      </c>
      <c r="K522">
        <f t="shared" si="17"/>
        <v>1567.5</v>
      </c>
      <c r="L522" t="str">
        <f>VLOOKUP($B522,dim_stores!$A$1:$C$51,2,0)</f>
        <v>Visakhapatnam</v>
      </c>
    </row>
    <row r="523" spans="1:12" x14ac:dyDescent="0.3">
      <c r="A523" t="s">
        <v>565</v>
      </c>
      <c r="B523" t="s">
        <v>96</v>
      </c>
      <c r="C523" t="s">
        <v>10</v>
      </c>
      <c r="D523" t="s">
        <v>32</v>
      </c>
      <c r="E523">
        <v>50</v>
      </c>
      <c r="F523" t="s">
        <v>17</v>
      </c>
      <c r="G523">
        <v>25</v>
      </c>
      <c r="H523">
        <v>21</v>
      </c>
      <c r="I523" t="str">
        <f>_xlfn.XLOOKUP($C523,dim_campaigns!$D$2:$D$3,dim_campaigns!$A$2:$A$3,"",0)</f>
        <v>Sankranti</v>
      </c>
      <c r="J523" s="6">
        <f t="shared" si="16"/>
        <v>-0.16</v>
      </c>
      <c r="K523">
        <f t="shared" si="17"/>
        <v>2037.5</v>
      </c>
      <c r="L523" t="str">
        <f>VLOOKUP($B523,dim_stores!$A$1:$C$51,2,0)</f>
        <v>Mysuru</v>
      </c>
    </row>
    <row r="524" spans="1:12" x14ac:dyDescent="0.3">
      <c r="A524" t="s">
        <v>566</v>
      </c>
      <c r="B524" t="s">
        <v>96</v>
      </c>
      <c r="C524" t="s">
        <v>10</v>
      </c>
      <c r="D524" t="s">
        <v>28</v>
      </c>
      <c r="E524">
        <v>55</v>
      </c>
      <c r="F524" t="s">
        <v>17</v>
      </c>
      <c r="G524">
        <v>19</v>
      </c>
      <c r="H524">
        <v>16</v>
      </c>
      <c r="I524" t="str">
        <f>_xlfn.XLOOKUP($C524,dim_campaigns!$D$2:$D$3,dim_campaigns!$A$2:$A$3,"",0)</f>
        <v>Sankranti</v>
      </c>
      <c r="J524" s="6">
        <f t="shared" si="16"/>
        <v>-0.15789473684210525</v>
      </c>
      <c r="K524">
        <f t="shared" si="17"/>
        <v>1705</v>
      </c>
      <c r="L524" t="str">
        <f>VLOOKUP($B524,dim_stores!$A$1:$C$51,2,0)</f>
        <v>Mysuru</v>
      </c>
    </row>
    <row r="525" spans="1:12" x14ac:dyDescent="0.3">
      <c r="A525" t="s">
        <v>567</v>
      </c>
      <c r="B525" t="s">
        <v>99</v>
      </c>
      <c r="C525" t="s">
        <v>10</v>
      </c>
      <c r="D525" t="s">
        <v>38</v>
      </c>
      <c r="E525">
        <v>1190</v>
      </c>
      <c r="F525" t="s">
        <v>21</v>
      </c>
      <c r="G525">
        <v>40</v>
      </c>
      <c r="H525">
        <v>158</v>
      </c>
      <c r="I525" t="str">
        <f>_xlfn.XLOOKUP($C525,dim_campaigns!$D$2:$D$3,dim_campaigns!$A$2:$A$3,"",0)</f>
        <v>Sankranti</v>
      </c>
      <c r="J525" s="6">
        <f t="shared" si="16"/>
        <v>2.95</v>
      </c>
      <c r="K525">
        <f t="shared" si="17"/>
        <v>141610</v>
      </c>
      <c r="L525" t="str">
        <f>VLOOKUP($B525,dim_stores!$A$1:$C$51,2,0)</f>
        <v>Coimbatore</v>
      </c>
    </row>
    <row r="526" spans="1:12" x14ac:dyDescent="0.3">
      <c r="A526" t="s">
        <v>568</v>
      </c>
      <c r="B526" t="s">
        <v>29</v>
      </c>
      <c r="C526" t="s">
        <v>10</v>
      </c>
      <c r="D526" t="s">
        <v>51</v>
      </c>
      <c r="E526">
        <v>370</v>
      </c>
      <c r="F526" t="s">
        <v>21</v>
      </c>
      <c r="G526">
        <v>432</v>
      </c>
      <c r="H526">
        <v>1736</v>
      </c>
      <c r="I526" t="str">
        <f>_xlfn.XLOOKUP($C526,dim_campaigns!$D$2:$D$3,dim_campaigns!$A$2:$A$3,"",0)</f>
        <v>Sankranti</v>
      </c>
      <c r="J526" s="6">
        <f t="shared" si="16"/>
        <v>3.0185185185185186</v>
      </c>
      <c r="K526">
        <f t="shared" si="17"/>
        <v>481000</v>
      </c>
      <c r="L526" t="str">
        <f>VLOOKUP($B526,dim_stores!$A$1:$C$51,2,0)</f>
        <v>Bengaluru</v>
      </c>
    </row>
    <row r="527" spans="1:12" x14ac:dyDescent="0.3">
      <c r="A527">
        <v>729701</v>
      </c>
      <c r="B527" t="s">
        <v>31</v>
      </c>
      <c r="C527" t="s">
        <v>10</v>
      </c>
      <c r="D527" t="s">
        <v>43</v>
      </c>
      <c r="E527">
        <v>415</v>
      </c>
      <c r="F527" t="s">
        <v>17</v>
      </c>
      <c r="G527">
        <v>22</v>
      </c>
      <c r="H527">
        <v>18</v>
      </c>
      <c r="I527" t="str">
        <f>_xlfn.XLOOKUP($C527,dim_campaigns!$D$2:$D$3,dim_campaigns!$A$2:$A$3,"",0)</f>
        <v>Sankranti</v>
      </c>
      <c r="J527" s="6">
        <f t="shared" si="16"/>
        <v>-0.18181818181818182</v>
      </c>
      <c r="K527">
        <f t="shared" si="17"/>
        <v>14732.5</v>
      </c>
      <c r="L527" t="str">
        <f>VLOOKUP($B527,dim_stores!$A$1:$C$51,2,0)</f>
        <v>Visakhapatnam</v>
      </c>
    </row>
    <row r="528" spans="1:12" x14ac:dyDescent="0.3">
      <c r="A528" t="s">
        <v>569</v>
      </c>
      <c r="B528" t="s">
        <v>23</v>
      </c>
      <c r="C528" t="s">
        <v>10</v>
      </c>
      <c r="D528" t="s">
        <v>20</v>
      </c>
      <c r="E528">
        <v>300</v>
      </c>
      <c r="F528" t="s">
        <v>21</v>
      </c>
      <c r="G528">
        <v>40</v>
      </c>
      <c r="H528">
        <v>155</v>
      </c>
      <c r="I528" t="str">
        <f>_xlfn.XLOOKUP($C528,dim_campaigns!$D$2:$D$3,dim_campaigns!$A$2:$A$3,"",0)</f>
        <v>Sankranti</v>
      </c>
      <c r="J528" s="6">
        <f t="shared" si="16"/>
        <v>2.875</v>
      </c>
      <c r="K528">
        <f t="shared" si="17"/>
        <v>35250</v>
      </c>
      <c r="L528" t="str">
        <f>VLOOKUP($B528,dim_stores!$A$1:$C$51,2,0)</f>
        <v>Coimbatore</v>
      </c>
    </row>
    <row r="529" spans="1:12" x14ac:dyDescent="0.3">
      <c r="A529" t="s">
        <v>570</v>
      </c>
      <c r="B529" t="s">
        <v>58</v>
      </c>
      <c r="C529" t="s">
        <v>10</v>
      </c>
      <c r="D529" t="s">
        <v>24</v>
      </c>
      <c r="E529">
        <v>3000</v>
      </c>
      <c r="F529" t="s">
        <v>25</v>
      </c>
      <c r="G529">
        <v>121</v>
      </c>
      <c r="H529">
        <v>273</v>
      </c>
      <c r="I529" t="str">
        <f>_xlfn.XLOOKUP($C529,dim_campaigns!$D$2:$D$3,dim_campaigns!$A$2:$A$3,"",0)</f>
        <v>Sankranti</v>
      </c>
      <c r="J529" s="6">
        <f t="shared" si="16"/>
        <v>1.2561983471074381</v>
      </c>
      <c r="K529">
        <f t="shared" si="17"/>
        <v>1045500</v>
      </c>
      <c r="L529" t="str">
        <f>VLOOKUP($B529,dim_stores!$A$1:$C$51,2,0)</f>
        <v>Chennai</v>
      </c>
    </row>
    <row r="530" spans="1:12" x14ac:dyDescent="0.3">
      <c r="A530" t="s">
        <v>571</v>
      </c>
      <c r="B530" t="s">
        <v>40</v>
      </c>
      <c r="C530" t="s">
        <v>10</v>
      </c>
      <c r="D530" t="s">
        <v>11</v>
      </c>
      <c r="E530">
        <v>190</v>
      </c>
      <c r="F530" t="s">
        <v>12</v>
      </c>
      <c r="G530">
        <v>25</v>
      </c>
      <c r="H530">
        <v>28</v>
      </c>
      <c r="I530" t="str">
        <f>_xlfn.XLOOKUP($C530,dim_campaigns!$D$2:$D$3,dim_campaigns!$A$2:$A$3,"",0)</f>
        <v>Sankranti</v>
      </c>
      <c r="J530" s="6">
        <f t="shared" si="16"/>
        <v>0.12</v>
      </c>
      <c r="K530">
        <f t="shared" si="17"/>
        <v>7410</v>
      </c>
      <c r="L530" t="str">
        <f>VLOOKUP($B530,dim_stores!$A$1:$C$51,2,0)</f>
        <v>Madurai</v>
      </c>
    </row>
    <row r="531" spans="1:12" x14ac:dyDescent="0.3">
      <c r="A531" t="s">
        <v>572</v>
      </c>
      <c r="B531" t="s">
        <v>95</v>
      </c>
      <c r="C531" t="s">
        <v>15</v>
      </c>
      <c r="D531" t="s">
        <v>68</v>
      </c>
      <c r="E531">
        <v>1020</v>
      </c>
      <c r="F531" t="s">
        <v>21</v>
      </c>
      <c r="G531">
        <v>42</v>
      </c>
      <c r="H531">
        <v>139</v>
      </c>
      <c r="I531" t="str">
        <f>_xlfn.XLOOKUP($C531,dim_campaigns!$D$2:$D$3,dim_campaigns!$A$2:$A$3,"",0)</f>
        <v>Diwali</v>
      </c>
      <c r="J531" s="6">
        <f t="shared" si="16"/>
        <v>2.3095238095238093</v>
      </c>
      <c r="K531">
        <f t="shared" si="17"/>
        <v>113730</v>
      </c>
      <c r="L531" t="str">
        <f>VLOOKUP($B531,dim_stores!$A$1:$C$51,2,0)</f>
        <v>Hyderabad</v>
      </c>
    </row>
    <row r="532" spans="1:12" x14ac:dyDescent="0.3">
      <c r="A532" t="s">
        <v>573</v>
      </c>
      <c r="B532" t="s">
        <v>126</v>
      </c>
      <c r="C532" t="s">
        <v>15</v>
      </c>
      <c r="D532" t="s">
        <v>85</v>
      </c>
      <c r="E532">
        <v>110</v>
      </c>
      <c r="F532" t="s">
        <v>12</v>
      </c>
      <c r="G532">
        <v>36</v>
      </c>
      <c r="H532">
        <v>48</v>
      </c>
      <c r="I532" t="str">
        <f>_xlfn.XLOOKUP($C532,dim_campaigns!$D$2:$D$3,dim_campaigns!$A$2:$A$3,"",0)</f>
        <v>Diwali</v>
      </c>
      <c r="J532" s="6">
        <f t="shared" si="16"/>
        <v>0.33333333333333331</v>
      </c>
      <c r="K532">
        <f t="shared" si="17"/>
        <v>6600</v>
      </c>
      <c r="L532" t="str">
        <f>VLOOKUP($B532,dim_stores!$A$1:$C$51,2,0)</f>
        <v>Mangalore</v>
      </c>
    </row>
    <row r="533" spans="1:12" x14ac:dyDescent="0.3">
      <c r="A533" t="s">
        <v>574</v>
      </c>
      <c r="B533" t="s">
        <v>89</v>
      </c>
      <c r="C533" t="s">
        <v>10</v>
      </c>
      <c r="D533" t="s">
        <v>24</v>
      </c>
      <c r="E533">
        <v>3000</v>
      </c>
      <c r="F533" t="s">
        <v>25</v>
      </c>
      <c r="G533">
        <v>66</v>
      </c>
      <c r="H533">
        <v>144</v>
      </c>
      <c r="I533" t="str">
        <f>_xlfn.XLOOKUP($C533,dim_campaigns!$D$2:$D$3,dim_campaigns!$A$2:$A$3,"",0)</f>
        <v>Sankranti</v>
      </c>
      <c r="J533" s="6">
        <f t="shared" si="16"/>
        <v>1.1818181818181819</v>
      </c>
      <c r="K533">
        <f t="shared" si="17"/>
        <v>558000</v>
      </c>
      <c r="L533" t="str">
        <f>VLOOKUP($B533,dim_stores!$A$1:$C$51,2,0)</f>
        <v>Vijayawada</v>
      </c>
    </row>
    <row r="534" spans="1:12" x14ac:dyDescent="0.3">
      <c r="A534" t="s">
        <v>575</v>
      </c>
      <c r="B534" t="s">
        <v>27</v>
      </c>
      <c r="C534" t="s">
        <v>10</v>
      </c>
      <c r="D534" t="s">
        <v>11</v>
      </c>
      <c r="E534">
        <v>190</v>
      </c>
      <c r="F534" t="s">
        <v>12</v>
      </c>
      <c r="G534">
        <v>43</v>
      </c>
      <c r="H534">
        <v>66</v>
      </c>
      <c r="I534" t="str">
        <f>_xlfn.XLOOKUP($C534,dim_campaigns!$D$2:$D$3,dim_campaigns!$A$2:$A$3,"",0)</f>
        <v>Sankranti</v>
      </c>
      <c r="J534" s="6">
        <f t="shared" si="16"/>
        <v>0.53488372093023251</v>
      </c>
      <c r="K534">
        <f t="shared" si="17"/>
        <v>14440</v>
      </c>
      <c r="L534" t="str">
        <f>VLOOKUP($B534,dim_stores!$A$1:$C$51,2,0)</f>
        <v>Bengaluru</v>
      </c>
    </row>
    <row r="535" spans="1:12" x14ac:dyDescent="0.3">
      <c r="A535" t="s">
        <v>576</v>
      </c>
      <c r="B535" t="s">
        <v>47</v>
      </c>
      <c r="C535" t="s">
        <v>15</v>
      </c>
      <c r="D535" t="s">
        <v>32</v>
      </c>
      <c r="E535">
        <v>65</v>
      </c>
      <c r="F535" t="s">
        <v>12</v>
      </c>
      <c r="G535">
        <v>122</v>
      </c>
      <c r="H535">
        <v>153</v>
      </c>
      <c r="I535" t="str">
        <f>_xlfn.XLOOKUP($C535,dim_campaigns!$D$2:$D$3,dim_campaigns!$A$2:$A$3,"",0)</f>
        <v>Diwali</v>
      </c>
      <c r="J535" s="6">
        <f t="shared" si="16"/>
        <v>0.25409836065573771</v>
      </c>
      <c r="K535">
        <f t="shared" si="17"/>
        <v>12902.5</v>
      </c>
      <c r="L535" t="str">
        <f>VLOOKUP($B535,dim_stores!$A$1:$C$51,2,0)</f>
        <v>Chennai</v>
      </c>
    </row>
    <row r="536" spans="1:12" x14ac:dyDescent="0.3">
      <c r="A536" t="s">
        <v>577</v>
      </c>
      <c r="B536" t="s">
        <v>37</v>
      </c>
      <c r="C536" t="s">
        <v>15</v>
      </c>
      <c r="D536" t="s">
        <v>24</v>
      </c>
      <c r="E536">
        <v>3000</v>
      </c>
      <c r="F536" t="s">
        <v>25</v>
      </c>
      <c r="G536">
        <v>316</v>
      </c>
      <c r="H536">
        <v>818</v>
      </c>
      <c r="I536" t="str">
        <f>_xlfn.XLOOKUP($C536,dim_campaigns!$D$2:$D$3,dim_campaigns!$A$2:$A$3,"",0)</f>
        <v>Diwali</v>
      </c>
      <c r="J536" s="6">
        <f t="shared" si="16"/>
        <v>1.5886075949367089</v>
      </c>
      <c r="K536">
        <f t="shared" si="17"/>
        <v>2993000</v>
      </c>
      <c r="L536" t="str">
        <f>VLOOKUP($B536,dim_stores!$A$1:$C$51,2,0)</f>
        <v>Coimbatore</v>
      </c>
    </row>
    <row r="537" spans="1:12" x14ac:dyDescent="0.3">
      <c r="A537" t="s">
        <v>578</v>
      </c>
      <c r="B537" t="s">
        <v>207</v>
      </c>
      <c r="C537" t="s">
        <v>15</v>
      </c>
      <c r="D537" t="s">
        <v>38</v>
      </c>
      <c r="E537">
        <v>1190</v>
      </c>
      <c r="F537" t="s">
        <v>21</v>
      </c>
      <c r="G537">
        <v>52</v>
      </c>
      <c r="H537">
        <v>180</v>
      </c>
      <c r="I537" t="str">
        <f>_xlfn.XLOOKUP($C537,dim_campaigns!$D$2:$D$3,dim_campaigns!$A$2:$A$3,"",0)</f>
        <v>Diwali</v>
      </c>
      <c r="J537" s="6">
        <f t="shared" si="16"/>
        <v>2.4615384615384617</v>
      </c>
      <c r="K537">
        <f t="shared" si="17"/>
        <v>168980</v>
      </c>
      <c r="L537" t="str">
        <f>VLOOKUP($B537,dim_stores!$A$1:$C$51,2,0)</f>
        <v>Hyderabad</v>
      </c>
    </row>
    <row r="538" spans="1:12" x14ac:dyDescent="0.3">
      <c r="A538" t="s">
        <v>579</v>
      </c>
      <c r="B538" t="s">
        <v>27</v>
      </c>
      <c r="C538" t="s">
        <v>15</v>
      </c>
      <c r="D538" t="s">
        <v>43</v>
      </c>
      <c r="E538">
        <v>415</v>
      </c>
      <c r="F538" t="s">
        <v>17</v>
      </c>
      <c r="G538">
        <v>87</v>
      </c>
      <c r="H538">
        <v>78</v>
      </c>
      <c r="I538" t="str">
        <f>_xlfn.XLOOKUP($C538,dim_campaigns!$D$2:$D$3,dim_campaigns!$A$2:$A$3,"",0)</f>
        <v>Diwali</v>
      </c>
      <c r="J538" s="6">
        <f t="shared" si="16"/>
        <v>-0.10344827586206896</v>
      </c>
      <c r="K538">
        <f t="shared" si="17"/>
        <v>60382.5</v>
      </c>
      <c r="L538" t="str">
        <f>VLOOKUP($B538,dim_stores!$A$1:$C$51,2,0)</f>
        <v>Bengaluru</v>
      </c>
    </row>
    <row r="539" spans="1:12" x14ac:dyDescent="0.3">
      <c r="A539" t="s">
        <v>580</v>
      </c>
      <c r="B539" t="s">
        <v>119</v>
      </c>
      <c r="C539" t="s">
        <v>15</v>
      </c>
      <c r="D539" t="s">
        <v>24</v>
      </c>
      <c r="E539">
        <v>3000</v>
      </c>
      <c r="F539" t="s">
        <v>25</v>
      </c>
      <c r="G539">
        <v>381</v>
      </c>
      <c r="H539">
        <v>1303</v>
      </c>
      <c r="I539" t="str">
        <f>_xlfn.XLOOKUP($C539,dim_campaigns!$D$2:$D$3,dim_campaigns!$A$2:$A$3,"",0)</f>
        <v>Diwali</v>
      </c>
      <c r="J539" s="6">
        <f t="shared" si="16"/>
        <v>2.4199475065616798</v>
      </c>
      <c r="K539">
        <f t="shared" si="17"/>
        <v>4400500</v>
      </c>
      <c r="L539" t="str">
        <f>VLOOKUP($B539,dim_stores!$A$1:$C$51,2,0)</f>
        <v>Chennai</v>
      </c>
    </row>
    <row r="540" spans="1:12" x14ac:dyDescent="0.3">
      <c r="A540" t="s">
        <v>581</v>
      </c>
      <c r="B540" t="s">
        <v>91</v>
      </c>
      <c r="C540" t="s">
        <v>10</v>
      </c>
      <c r="D540" t="s">
        <v>16</v>
      </c>
      <c r="E540">
        <v>200</v>
      </c>
      <c r="F540" t="s">
        <v>21</v>
      </c>
      <c r="G540">
        <v>331</v>
      </c>
      <c r="H540">
        <v>903</v>
      </c>
      <c r="I540" t="str">
        <f>_xlfn.XLOOKUP($C540,dim_campaigns!$D$2:$D$3,dim_campaigns!$A$2:$A$3,"",0)</f>
        <v>Sankranti</v>
      </c>
      <c r="J540" s="6">
        <f t="shared" si="16"/>
        <v>1.7280966767371602</v>
      </c>
      <c r="K540">
        <f t="shared" si="17"/>
        <v>156500</v>
      </c>
      <c r="L540" t="str">
        <f>VLOOKUP($B540,dim_stores!$A$1:$C$51,2,0)</f>
        <v>Hyderabad</v>
      </c>
    </row>
    <row r="541" spans="1:12" x14ac:dyDescent="0.3">
      <c r="A541" t="s">
        <v>582</v>
      </c>
      <c r="B541" t="s">
        <v>14</v>
      </c>
      <c r="C541" t="s">
        <v>10</v>
      </c>
      <c r="D541" t="s">
        <v>35</v>
      </c>
      <c r="E541">
        <v>350</v>
      </c>
      <c r="F541" t="s">
        <v>21</v>
      </c>
      <c r="G541">
        <v>97</v>
      </c>
      <c r="H541">
        <v>378</v>
      </c>
      <c r="I541" t="str">
        <f>_xlfn.XLOOKUP($C541,dim_campaigns!$D$2:$D$3,dim_campaigns!$A$2:$A$3,"",0)</f>
        <v>Sankranti</v>
      </c>
      <c r="J541" s="6">
        <f t="shared" si="16"/>
        <v>2.8969072164948453</v>
      </c>
      <c r="K541">
        <f t="shared" si="17"/>
        <v>100100</v>
      </c>
      <c r="L541" t="str">
        <f>VLOOKUP($B541,dim_stores!$A$1:$C$51,2,0)</f>
        <v>Bengaluru</v>
      </c>
    </row>
    <row r="542" spans="1:12" x14ac:dyDescent="0.3">
      <c r="A542" t="s">
        <v>583</v>
      </c>
      <c r="B542" t="s">
        <v>52</v>
      </c>
      <c r="C542" t="s">
        <v>10</v>
      </c>
      <c r="D542" t="s">
        <v>28</v>
      </c>
      <c r="E542">
        <v>55</v>
      </c>
      <c r="F542" t="s">
        <v>17</v>
      </c>
      <c r="G542">
        <v>18</v>
      </c>
      <c r="H542">
        <v>13</v>
      </c>
      <c r="I542" t="str">
        <f>_xlfn.XLOOKUP($C542,dim_campaigns!$D$2:$D$3,dim_campaigns!$A$2:$A$3,"",0)</f>
        <v>Sankranti</v>
      </c>
      <c r="J542" s="6">
        <f t="shared" si="16"/>
        <v>-0.27777777777777779</v>
      </c>
      <c r="K542">
        <f t="shared" si="17"/>
        <v>1526.25</v>
      </c>
      <c r="L542" t="str">
        <f>VLOOKUP($B542,dim_stores!$A$1:$C$51,2,0)</f>
        <v>Visakhapatnam</v>
      </c>
    </row>
    <row r="543" spans="1:12" x14ac:dyDescent="0.3">
      <c r="A543" t="s">
        <v>584</v>
      </c>
      <c r="B543" t="s">
        <v>113</v>
      </c>
      <c r="C543" t="s">
        <v>15</v>
      </c>
      <c r="D543" t="s">
        <v>20</v>
      </c>
      <c r="E543">
        <v>300</v>
      </c>
      <c r="F543" t="s">
        <v>21</v>
      </c>
      <c r="G543">
        <v>75</v>
      </c>
      <c r="H543">
        <v>217</v>
      </c>
      <c r="I543" t="str">
        <f>_xlfn.XLOOKUP($C543,dim_campaigns!$D$2:$D$3,dim_campaigns!$A$2:$A$3,"",0)</f>
        <v>Diwali</v>
      </c>
      <c r="J543" s="6">
        <f t="shared" si="16"/>
        <v>1.8933333333333333</v>
      </c>
      <c r="K543">
        <f t="shared" si="17"/>
        <v>55050</v>
      </c>
      <c r="L543" t="str">
        <f>VLOOKUP($B543,dim_stores!$A$1:$C$51,2,0)</f>
        <v>Chennai</v>
      </c>
    </row>
    <row r="544" spans="1:12" x14ac:dyDescent="0.3">
      <c r="A544" t="s">
        <v>585</v>
      </c>
      <c r="B544" t="s">
        <v>96</v>
      </c>
      <c r="C544" t="s">
        <v>10</v>
      </c>
      <c r="D544" t="s">
        <v>53</v>
      </c>
      <c r="E544">
        <v>860</v>
      </c>
      <c r="F544" t="s">
        <v>54</v>
      </c>
      <c r="G544">
        <v>400</v>
      </c>
      <c r="H544">
        <v>476</v>
      </c>
      <c r="I544" t="str">
        <f>_xlfn.XLOOKUP($C544,dim_campaigns!$D$2:$D$3,dim_campaigns!$A$2:$A$3,"",0)</f>
        <v>Sankranti</v>
      </c>
      <c r="J544" s="6">
        <f t="shared" si="16"/>
        <v>0.19</v>
      </c>
      <c r="K544">
        <f t="shared" si="17"/>
        <v>618271.19999999995</v>
      </c>
      <c r="L544" t="str">
        <f>VLOOKUP($B544,dim_stores!$A$1:$C$51,2,0)</f>
        <v>Mysuru</v>
      </c>
    </row>
    <row r="545" spans="1:12" x14ac:dyDescent="0.3">
      <c r="A545" t="s">
        <v>586</v>
      </c>
      <c r="B545" t="s">
        <v>37</v>
      </c>
      <c r="C545" t="s">
        <v>15</v>
      </c>
      <c r="D545" t="s">
        <v>61</v>
      </c>
      <c r="E545">
        <v>172</v>
      </c>
      <c r="F545" t="s">
        <v>54</v>
      </c>
      <c r="G545">
        <v>203</v>
      </c>
      <c r="H545">
        <v>296</v>
      </c>
      <c r="I545" t="str">
        <f>_xlfn.XLOOKUP($C545,dim_campaigns!$D$2:$D$3,dim_campaigns!$A$2:$A$3,"",0)</f>
        <v>Diwali</v>
      </c>
      <c r="J545" s="6">
        <f t="shared" si="16"/>
        <v>0.45812807881773399</v>
      </c>
      <c r="K545">
        <f t="shared" si="17"/>
        <v>69027.040000000008</v>
      </c>
      <c r="L545" t="str">
        <f>VLOOKUP($B545,dim_stores!$A$1:$C$51,2,0)</f>
        <v>Coimbatore</v>
      </c>
    </row>
    <row r="546" spans="1:12" x14ac:dyDescent="0.3">
      <c r="A546" t="s">
        <v>587</v>
      </c>
      <c r="B546" t="s">
        <v>65</v>
      </c>
      <c r="C546" t="s">
        <v>15</v>
      </c>
      <c r="D546" t="s">
        <v>32</v>
      </c>
      <c r="E546">
        <v>65</v>
      </c>
      <c r="F546" t="s">
        <v>12</v>
      </c>
      <c r="G546">
        <v>112</v>
      </c>
      <c r="H546">
        <v>151</v>
      </c>
      <c r="I546" t="str">
        <f>_xlfn.XLOOKUP($C546,dim_campaigns!$D$2:$D$3,dim_campaigns!$A$2:$A$3,"",0)</f>
        <v>Diwali</v>
      </c>
      <c r="J546" s="6">
        <f t="shared" si="16"/>
        <v>0.3482142857142857</v>
      </c>
      <c r="K546">
        <f t="shared" si="17"/>
        <v>12187.5</v>
      </c>
      <c r="L546" t="str">
        <f>VLOOKUP($B546,dim_stores!$A$1:$C$51,2,0)</f>
        <v>Hyderabad</v>
      </c>
    </row>
    <row r="547" spans="1:12" x14ac:dyDescent="0.3">
      <c r="A547" t="s">
        <v>588</v>
      </c>
      <c r="B547" t="s">
        <v>95</v>
      </c>
      <c r="C547" t="s">
        <v>10</v>
      </c>
      <c r="D547" t="s">
        <v>61</v>
      </c>
      <c r="E547">
        <v>172</v>
      </c>
      <c r="F547" t="s">
        <v>54</v>
      </c>
      <c r="G547">
        <v>333</v>
      </c>
      <c r="H547">
        <v>456</v>
      </c>
      <c r="I547" t="str">
        <f>_xlfn.XLOOKUP($C547,dim_campaigns!$D$2:$D$3,dim_campaigns!$A$2:$A$3,"",0)</f>
        <v>Sankranti</v>
      </c>
      <c r="J547" s="6">
        <f t="shared" si="16"/>
        <v>0.36936936936936937</v>
      </c>
      <c r="K547">
        <f t="shared" si="17"/>
        <v>109825.44</v>
      </c>
      <c r="L547" t="str">
        <f>VLOOKUP($B547,dim_stores!$A$1:$C$51,2,0)</f>
        <v>Hyderabad</v>
      </c>
    </row>
    <row r="548" spans="1:12" x14ac:dyDescent="0.3">
      <c r="A548" t="s">
        <v>589</v>
      </c>
      <c r="B548" t="s">
        <v>65</v>
      </c>
      <c r="C548" t="s">
        <v>10</v>
      </c>
      <c r="D548" t="s">
        <v>38</v>
      </c>
      <c r="E548">
        <v>1190</v>
      </c>
      <c r="F548" t="s">
        <v>21</v>
      </c>
      <c r="G548">
        <v>36</v>
      </c>
      <c r="H548">
        <v>139</v>
      </c>
      <c r="I548" t="str">
        <f>_xlfn.XLOOKUP($C548,dim_campaigns!$D$2:$D$3,dim_campaigns!$A$2:$A$3,"",0)</f>
        <v>Sankranti</v>
      </c>
      <c r="J548" s="6">
        <f t="shared" si="16"/>
        <v>2.8611111111111112</v>
      </c>
      <c r="K548">
        <f t="shared" si="17"/>
        <v>125545</v>
      </c>
      <c r="L548" t="str">
        <f>VLOOKUP($B548,dim_stores!$A$1:$C$51,2,0)</f>
        <v>Hyderabad</v>
      </c>
    </row>
    <row r="549" spans="1:12" x14ac:dyDescent="0.3">
      <c r="A549" t="s">
        <v>590</v>
      </c>
      <c r="B549" t="s">
        <v>58</v>
      </c>
      <c r="C549" t="s">
        <v>15</v>
      </c>
      <c r="D549" t="s">
        <v>53</v>
      </c>
      <c r="E549">
        <v>860</v>
      </c>
      <c r="F549" t="s">
        <v>54</v>
      </c>
      <c r="G549">
        <v>316</v>
      </c>
      <c r="H549">
        <v>388</v>
      </c>
      <c r="I549" t="str">
        <f>_xlfn.XLOOKUP($C549,dim_campaigns!$D$2:$D$3,dim_campaigns!$A$2:$A$3,"",0)</f>
        <v>Diwali</v>
      </c>
      <c r="J549" s="6">
        <f t="shared" si="16"/>
        <v>0.22784810126582278</v>
      </c>
      <c r="K549">
        <f t="shared" si="17"/>
        <v>495325.6</v>
      </c>
      <c r="L549" t="str">
        <f>VLOOKUP($B549,dim_stores!$A$1:$C$51,2,0)</f>
        <v>Chennai</v>
      </c>
    </row>
    <row r="550" spans="1:12" x14ac:dyDescent="0.3">
      <c r="A550" t="s">
        <v>591</v>
      </c>
      <c r="B550" t="s">
        <v>95</v>
      </c>
      <c r="C550" t="s">
        <v>10</v>
      </c>
      <c r="D550" t="s">
        <v>43</v>
      </c>
      <c r="E550">
        <v>415</v>
      </c>
      <c r="F550" t="s">
        <v>17</v>
      </c>
      <c r="G550">
        <v>46</v>
      </c>
      <c r="H550">
        <v>34</v>
      </c>
      <c r="I550" t="str">
        <f>_xlfn.XLOOKUP($C550,dim_campaigns!$D$2:$D$3,dim_campaigns!$A$2:$A$3,"",0)</f>
        <v>Sankranti</v>
      </c>
      <c r="J550" s="6">
        <f t="shared" si="16"/>
        <v>-0.2608695652173913</v>
      </c>
      <c r="K550">
        <f t="shared" si="17"/>
        <v>29672.5</v>
      </c>
      <c r="L550" t="str">
        <f>VLOOKUP($B550,dim_stores!$A$1:$C$51,2,0)</f>
        <v>Hyderabad</v>
      </c>
    </row>
    <row r="551" spans="1:12" x14ac:dyDescent="0.3">
      <c r="A551" t="s">
        <v>592</v>
      </c>
      <c r="B551" t="s">
        <v>212</v>
      </c>
      <c r="C551" t="s">
        <v>10</v>
      </c>
      <c r="D551" t="s">
        <v>85</v>
      </c>
      <c r="E551">
        <v>90</v>
      </c>
      <c r="F551" t="s">
        <v>17</v>
      </c>
      <c r="G551">
        <v>72</v>
      </c>
      <c r="H551">
        <v>58</v>
      </c>
      <c r="I551" t="str">
        <f>_xlfn.XLOOKUP($C551,dim_campaigns!$D$2:$D$3,dim_campaigns!$A$2:$A$3,"",0)</f>
        <v>Sankranti</v>
      </c>
      <c r="J551" s="6">
        <f t="shared" si="16"/>
        <v>-0.19444444444444445</v>
      </c>
      <c r="K551">
        <f t="shared" si="17"/>
        <v>10395</v>
      </c>
      <c r="L551" t="str">
        <f>VLOOKUP($B551,dim_stores!$A$1:$C$51,2,0)</f>
        <v>Bengaluru</v>
      </c>
    </row>
    <row r="552" spans="1:12" x14ac:dyDescent="0.3">
      <c r="A552">
        <v>335090</v>
      </c>
      <c r="B552" t="s">
        <v>78</v>
      </c>
      <c r="C552" t="s">
        <v>15</v>
      </c>
      <c r="D552" t="s">
        <v>24</v>
      </c>
      <c r="E552">
        <v>3000</v>
      </c>
      <c r="F552" t="s">
        <v>25</v>
      </c>
      <c r="G552">
        <v>262</v>
      </c>
      <c r="H552">
        <v>673</v>
      </c>
      <c r="I552" t="str">
        <f>_xlfn.XLOOKUP($C552,dim_campaigns!$D$2:$D$3,dim_campaigns!$A$2:$A$3,"",0)</f>
        <v>Diwali</v>
      </c>
      <c r="J552" s="6">
        <f t="shared" si="16"/>
        <v>1.5687022900763359</v>
      </c>
      <c r="K552">
        <f t="shared" si="17"/>
        <v>2468500</v>
      </c>
      <c r="L552" t="str">
        <f>VLOOKUP($B552,dim_stores!$A$1:$C$51,2,0)</f>
        <v>Mysuru</v>
      </c>
    </row>
    <row r="553" spans="1:12" x14ac:dyDescent="0.3">
      <c r="A553" t="s">
        <v>593</v>
      </c>
      <c r="B553" t="s">
        <v>126</v>
      </c>
      <c r="C553" t="s">
        <v>10</v>
      </c>
      <c r="D553" t="s">
        <v>38</v>
      </c>
      <c r="E553">
        <v>1190</v>
      </c>
      <c r="F553" t="s">
        <v>21</v>
      </c>
      <c r="G553">
        <v>27</v>
      </c>
      <c r="H553">
        <v>70</v>
      </c>
      <c r="I553" t="str">
        <f>_xlfn.XLOOKUP($C553,dim_campaigns!$D$2:$D$3,dim_campaigns!$A$2:$A$3,"",0)</f>
        <v>Sankranti</v>
      </c>
      <c r="J553" s="6">
        <f t="shared" si="16"/>
        <v>1.5925925925925926</v>
      </c>
      <c r="K553">
        <f t="shared" si="17"/>
        <v>73780</v>
      </c>
      <c r="L553" t="str">
        <f>VLOOKUP($B553,dim_stores!$A$1:$C$51,2,0)</f>
        <v>Mangalore</v>
      </c>
    </row>
    <row r="554" spans="1:12" x14ac:dyDescent="0.3">
      <c r="A554" t="s">
        <v>594</v>
      </c>
      <c r="B554" t="s">
        <v>107</v>
      </c>
      <c r="C554" t="s">
        <v>15</v>
      </c>
      <c r="D554" t="s">
        <v>16</v>
      </c>
      <c r="E554">
        <v>156</v>
      </c>
      <c r="F554" t="s">
        <v>17</v>
      </c>
      <c r="G554">
        <v>276</v>
      </c>
      <c r="H554">
        <v>267</v>
      </c>
      <c r="I554" t="str">
        <f>_xlfn.XLOOKUP($C554,dim_campaigns!$D$2:$D$3,dim_campaigns!$A$2:$A$3,"",0)</f>
        <v>Diwali</v>
      </c>
      <c r="J554" s="6">
        <f t="shared" si="16"/>
        <v>-3.2608695652173912E-2</v>
      </c>
      <c r="K554">
        <f t="shared" si="17"/>
        <v>74295</v>
      </c>
      <c r="L554" t="str">
        <f>VLOOKUP($B554,dim_stores!$A$1:$C$51,2,0)</f>
        <v>Coimbatore</v>
      </c>
    </row>
    <row r="555" spans="1:12" x14ac:dyDescent="0.3">
      <c r="A555" t="s">
        <v>595</v>
      </c>
      <c r="B555" t="s">
        <v>212</v>
      </c>
      <c r="C555" t="s">
        <v>15</v>
      </c>
      <c r="D555" t="s">
        <v>28</v>
      </c>
      <c r="E555">
        <v>55</v>
      </c>
      <c r="F555" t="s">
        <v>17</v>
      </c>
      <c r="G555">
        <v>122</v>
      </c>
      <c r="H555">
        <v>107</v>
      </c>
      <c r="I555" t="str">
        <f>_xlfn.XLOOKUP($C555,dim_campaigns!$D$2:$D$3,dim_campaigns!$A$2:$A$3,"",0)</f>
        <v>Diwali</v>
      </c>
      <c r="J555" s="6">
        <f t="shared" si="16"/>
        <v>-0.12295081967213115</v>
      </c>
      <c r="K555">
        <f t="shared" si="17"/>
        <v>11123.75</v>
      </c>
      <c r="L555" t="str">
        <f>VLOOKUP($B555,dim_stores!$A$1:$C$51,2,0)</f>
        <v>Bengaluru</v>
      </c>
    </row>
    <row r="556" spans="1:12" x14ac:dyDescent="0.3">
      <c r="A556" t="s">
        <v>596</v>
      </c>
      <c r="B556" t="s">
        <v>174</v>
      </c>
      <c r="C556" t="s">
        <v>15</v>
      </c>
      <c r="D556" t="s">
        <v>48</v>
      </c>
      <c r="E556">
        <v>62</v>
      </c>
      <c r="F556" t="s">
        <v>12</v>
      </c>
      <c r="G556">
        <v>63</v>
      </c>
      <c r="H556">
        <v>84</v>
      </c>
      <c r="I556" t="str">
        <f>_xlfn.XLOOKUP($C556,dim_campaigns!$D$2:$D$3,dim_campaigns!$A$2:$A$3,"",0)</f>
        <v>Diwali</v>
      </c>
      <c r="J556" s="6">
        <f t="shared" si="16"/>
        <v>0.33333333333333331</v>
      </c>
      <c r="K556">
        <f t="shared" si="17"/>
        <v>6510</v>
      </c>
      <c r="L556" t="str">
        <f>VLOOKUP($B556,dim_stores!$A$1:$C$51,2,0)</f>
        <v>Trivandrum</v>
      </c>
    </row>
    <row r="557" spans="1:12" x14ac:dyDescent="0.3">
      <c r="A557" t="s">
        <v>597</v>
      </c>
      <c r="B557" t="s">
        <v>89</v>
      </c>
      <c r="C557" t="s">
        <v>10</v>
      </c>
      <c r="D557" t="s">
        <v>61</v>
      </c>
      <c r="E557">
        <v>172</v>
      </c>
      <c r="F557" t="s">
        <v>54</v>
      </c>
      <c r="G557">
        <v>166</v>
      </c>
      <c r="H557">
        <v>225</v>
      </c>
      <c r="I557" t="str">
        <f>_xlfn.XLOOKUP($C557,dim_campaigns!$D$2:$D$3,dim_campaigns!$A$2:$A$3,"",0)</f>
        <v>Sankranti</v>
      </c>
      <c r="J557" s="6">
        <f t="shared" si="16"/>
        <v>0.35542168674698793</v>
      </c>
      <c r="K557">
        <f t="shared" si="17"/>
        <v>54481</v>
      </c>
      <c r="L557" t="str">
        <f>VLOOKUP($B557,dim_stores!$A$1:$C$51,2,0)</f>
        <v>Vijayawada</v>
      </c>
    </row>
    <row r="558" spans="1:12" x14ac:dyDescent="0.3">
      <c r="A558" t="s">
        <v>598</v>
      </c>
      <c r="B558" t="s">
        <v>117</v>
      </c>
      <c r="C558" t="s">
        <v>15</v>
      </c>
      <c r="D558" t="s">
        <v>43</v>
      </c>
      <c r="E558">
        <v>415</v>
      </c>
      <c r="F558" t="s">
        <v>17</v>
      </c>
      <c r="G558">
        <v>49</v>
      </c>
      <c r="H558">
        <v>42</v>
      </c>
      <c r="I558" t="str">
        <f>_xlfn.XLOOKUP($C558,dim_campaigns!$D$2:$D$3,dim_campaigns!$A$2:$A$3,"",0)</f>
        <v>Diwali</v>
      </c>
      <c r="J558" s="6">
        <f t="shared" si="16"/>
        <v>-0.14285714285714285</v>
      </c>
      <c r="K558">
        <f t="shared" si="17"/>
        <v>33407.5</v>
      </c>
      <c r="L558" t="str">
        <f>VLOOKUP($B558,dim_stores!$A$1:$C$51,2,0)</f>
        <v>Mangalore</v>
      </c>
    </row>
    <row r="559" spans="1:12" x14ac:dyDescent="0.3">
      <c r="A559">
        <v>240703</v>
      </c>
      <c r="B559" t="s">
        <v>65</v>
      </c>
      <c r="C559" t="s">
        <v>10</v>
      </c>
      <c r="D559" t="s">
        <v>53</v>
      </c>
      <c r="E559">
        <v>860</v>
      </c>
      <c r="F559" t="s">
        <v>54</v>
      </c>
      <c r="G559">
        <v>471</v>
      </c>
      <c r="H559">
        <v>659</v>
      </c>
      <c r="I559" t="str">
        <f>_xlfn.XLOOKUP($C559,dim_campaigns!$D$2:$D$3,dim_campaigns!$A$2:$A$3,"",0)</f>
        <v>Sankranti</v>
      </c>
      <c r="J559" s="6">
        <f t="shared" si="16"/>
        <v>0.39915074309978771</v>
      </c>
      <c r="K559">
        <f t="shared" si="17"/>
        <v>784775.8</v>
      </c>
      <c r="L559" t="str">
        <f>VLOOKUP($B559,dim_stores!$A$1:$C$51,2,0)</f>
        <v>Hyderabad</v>
      </c>
    </row>
    <row r="560" spans="1:12" x14ac:dyDescent="0.3">
      <c r="A560" t="s">
        <v>599</v>
      </c>
      <c r="B560" t="s">
        <v>9</v>
      </c>
      <c r="C560" t="s">
        <v>15</v>
      </c>
      <c r="D560" t="s">
        <v>24</v>
      </c>
      <c r="E560">
        <v>3000</v>
      </c>
      <c r="F560" t="s">
        <v>25</v>
      </c>
      <c r="G560">
        <v>234</v>
      </c>
      <c r="H560">
        <v>840</v>
      </c>
      <c r="I560" t="str">
        <f>_xlfn.XLOOKUP($C560,dim_campaigns!$D$2:$D$3,dim_campaigns!$A$2:$A$3,"",0)</f>
        <v>Diwali</v>
      </c>
      <c r="J560" s="6">
        <f t="shared" si="16"/>
        <v>2.5897435897435899</v>
      </c>
      <c r="K560">
        <f t="shared" si="17"/>
        <v>2802000</v>
      </c>
      <c r="L560" t="str">
        <f>VLOOKUP($B560,dim_stores!$A$1:$C$51,2,0)</f>
        <v>Coimbatore</v>
      </c>
    </row>
    <row r="561" spans="1:12" x14ac:dyDescent="0.3">
      <c r="A561" t="s">
        <v>600</v>
      </c>
      <c r="B561" t="s">
        <v>42</v>
      </c>
      <c r="C561" t="s">
        <v>15</v>
      </c>
      <c r="D561" t="s">
        <v>24</v>
      </c>
      <c r="E561">
        <v>3000</v>
      </c>
      <c r="F561" t="s">
        <v>25</v>
      </c>
      <c r="G561">
        <v>486</v>
      </c>
      <c r="H561">
        <v>1273</v>
      </c>
      <c r="I561" t="str">
        <f>_xlfn.XLOOKUP($C561,dim_campaigns!$D$2:$D$3,dim_campaigns!$A$2:$A$3,"",0)</f>
        <v>Diwali</v>
      </c>
      <c r="J561" s="6">
        <f t="shared" si="16"/>
        <v>1.6193415637860082</v>
      </c>
      <c r="K561">
        <f t="shared" si="17"/>
        <v>4640500</v>
      </c>
      <c r="L561" t="str">
        <f>VLOOKUP($B561,dim_stores!$A$1:$C$51,2,0)</f>
        <v>Mysuru</v>
      </c>
    </row>
    <row r="562" spans="1:12" x14ac:dyDescent="0.3">
      <c r="A562" t="s">
        <v>601</v>
      </c>
      <c r="B562" t="s">
        <v>96</v>
      </c>
      <c r="C562" t="s">
        <v>15</v>
      </c>
      <c r="D562" t="s">
        <v>61</v>
      </c>
      <c r="E562">
        <v>172</v>
      </c>
      <c r="F562" t="s">
        <v>54</v>
      </c>
      <c r="G562">
        <v>311</v>
      </c>
      <c r="H562">
        <v>398</v>
      </c>
      <c r="I562" t="str">
        <f>_xlfn.XLOOKUP($C562,dim_campaigns!$D$2:$D$3,dim_campaigns!$A$2:$A$3,"",0)</f>
        <v>Diwali</v>
      </c>
      <c r="J562" s="6">
        <f t="shared" si="16"/>
        <v>0.27974276527331188</v>
      </c>
      <c r="K562">
        <f t="shared" si="17"/>
        <v>99357.51999999999</v>
      </c>
      <c r="L562" t="str">
        <f>VLOOKUP($B562,dim_stores!$A$1:$C$51,2,0)</f>
        <v>Mysuru</v>
      </c>
    </row>
    <row r="563" spans="1:12" x14ac:dyDescent="0.3">
      <c r="A563" t="s">
        <v>602</v>
      </c>
      <c r="B563" t="s">
        <v>52</v>
      </c>
      <c r="C563" t="s">
        <v>10</v>
      </c>
      <c r="D563" t="s">
        <v>68</v>
      </c>
      <c r="E563">
        <v>1020</v>
      </c>
      <c r="F563" t="s">
        <v>21</v>
      </c>
      <c r="G563">
        <v>75</v>
      </c>
      <c r="H563">
        <v>198</v>
      </c>
      <c r="I563" t="str">
        <f>_xlfn.XLOOKUP($C563,dim_campaigns!$D$2:$D$3,dim_campaigns!$A$2:$A$3,"",0)</f>
        <v>Sankranti</v>
      </c>
      <c r="J563" s="6">
        <f t="shared" si="16"/>
        <v>1.64</v>
      </c>
      <c r="K563">
        <f t="shared" si="17"/>
        <v>177480</v>
      </c>
      <c r="L563" t="str">
        <f>VLOOKUP($B563,dim_stores!$A$1:$C$51,2,0)</f>
        <v>Visakhapatnam</v>
      </c>
    </row>
    <row r="564" spans="1:12" x14ac:dyDescent="0.3">
      <c r="A564" t="s">
        <v>603</v>
      </c>
      <c r="B564" t="s">
        <v>27</v>
      </c>
      <c r="C564" t="s">
        <v>10</v>
      </c>
      <c r="D564" t="s">
        <v>20</v>
      </c>
      <c r="E564">
        <v>300</v>
      </c>
      <c r="F564" t="s">
        <v>21</v>
      </c>
      <c r="G564">
        <v>40</v>
      </c>
      <c r="H564">
        <v>165</v>
      </c>
      <c r="I564" t="str">
        <f>_xlfn.XLOOKUP($C564,dim_campaigns!$D$2:$D$3,dim_campaigns!$A$2:$A$3,"",0)</f>
        <v>Sankranti</v>
      </c>
      <c r="J564" s="6">
        <f t="shared" si="16"/>
        <v>3.125</v>
      </c>
      <c r="K564">
        <f t="shared" si="17"/>
        <v>36750</v>
      </c>
      <c r="L564" t="str">
        <f>VLOOKUP($B564,dim_stores!$A$1:$C$51,2,0)</f>
        <v>Bengaluru</v>
      </c>
    </row>
    <row r="565" spans="1:12" x14ac:dyDescent="0.3">
      <c r="A565" t="s">
        <v>604</v>
      </c>
      <c r="B565" t="s">
        <v>34</v>
      </c>
      <c r="C565" t="s">
        <v>15</v>
      </c>
      <c r="D565" t="s">
        <v>85</v>
      </c>
      <c r="E565">
        <v>110</v>
      </c>
      <c r="F565" t="s">
        <v>12</v>
      </c>
      <c r="G565">
        <v>73</v>
      </c>
      <c r="H565">
        <v>95</v>
      </c>
      <c r="I565" t="str">
        <f>_xlfn.XLOOKUP($C565,dim_campaigns!$D$2:$D$3,dim_campaigns!$A$2:$A$3,"",0)</f>
        <v>Diwali</v>
      </c>
      <c r="J565" s="6">
        <f t="shared" si="16"/>
        <v>0.30136986301369861</v>
      </c>
      <c r="K565">
        <f t="shared" si="17"/>
        <v>13255</v>
      </c>
      <c r="L565" t="str">
        <f>VLOOKUP($B565,dim_stores!$A$1:$C$51,2,0)</f>
        <v>Hyderabad</v>
      </c>
    </row>
    <row r="566" spans="1:12" x14ac:dyDescent="0.3">
      <c r="A566">
        <v>792708</v>
      </c>
      <c r="B566" t="s">
        <v>93</v>
      </c>
      <c r="C566" t="s">
        <v>10</v>
      </c>
      <c r="D566" t="s">
        <v>35</v>
      </c>
      <c r="E566">
        <v>350</v>
      </c>
      <c r="F566" t="s">
        <v>21</v>
      </c>
      <c r="G566">
        <v>115</v>
      </c>
      <c r="H566">
        <v>445</v>
      </c>
      <c r="I566" t="str">
        <f>_xlfn.XLOOKUP($C566,dim_campaigns!$D$2:$D$3,dim_campaigns!$A$2:$A$3,"",0)</f>
        <v>Sankranti</v>
      </c>
      <c r="J566" s="6">
        <f t="shared" si="16"/>
        <v>2.8695652173913042</v>
      </c>
      <c r="K566">
        <f t="shared" si="17"/>
        <v>118125</v>
      </c>
      <c r="L566" t="str">
        <f>VLOOKUP($B566,dim_stores!$A$1:$C$51,2,0)</f>
        <v>Bengaluru</v>
      </c>
    </row>
    <row r="567" spans="1:12" x14ac:dyDescent="0.3">
      <c r="A567" t="s">
        <v>605</v>
      </c>
      <c r="B567" t="s">
        <v>126</v>
      </c>
      <c r="C567" t="s">
        <v>10</v>
      </c>
      <c r="D567" t="s">
        <v>51</v>
      </c>
      <c r="E567">
        <v>370</v>
      </c>
      <c r="F567" t="s">
        <v>21</v>
      </c>
      <c r="G567">
        <v>267</v>
      </c>
      <c r="H567">
        <v>731</v>
      </c>
      <c r="I567" t="str">
        <f>_xlfn.XLOOKUP($C567,dim_campaigns!$D$2:$D$3,dim_campaigns!$A$2:$A$3,"",0)</f>
        <v>Sankranti</v>
      </c>
      <c r="J567" s="6">
        <f t="shared" si="16"/>
        <v>1.7378277153558053</v>
      </c>
      <c r="K567">
        <f t="shared" si="17"/>
        <v>234025</v>
      </c>
      <c r="L567" t="str">
        <f>VLOOKUP($B567,dim_stores!$A$1:$C$51,2,0)</f>
        <v>Mangalore</v>
      </c>
    </row>
    <row r="568" spans="1:12" x14ac:dyDescent="0.3">
      <c r="A568" t="s">
        <v>606</v>
      </c>
      <c r="B568" t="s">
        <v>95</v>
      </c>
      <c r="C568" t="s">
        <v>10</v>
      </c>
      <c r="D568" t="s">
        <v>48</v>
      </c>
      <c r="E568">
        <v>62</v>
      </c>
      <c r="F568" t="s">
        <v>12</v>
      </c>
      <c r="G568">
        <v>52</v>
      </c>
      <c r="H568">
        <v>72</v>
      </c>
      <c r="I568" t="str">
        <f>_xlfn.XLOOKUP($C568,dim_campaigns!$D$2:$D$3,dim_campaigns!$A$2:$A$3,"",0)</f>
        <v>Sankranti</v>
      </c>
      <c r="J568" s="6">
        <f t="shared" si="16"/>
        <v>0.38461538461538464</v>
      </c>
      <c r="K568">
        <f t="shared" si="17"/>
        <v>5456</v>
      </c>
      <c r="L568" t="str">
        <f>VLOOKUP($B568,dim_stores!$A$1:$C$51,2,0)</f>
        <v>Hyderabad</v>
      </c>
    </row>
    <row r="569" spans="1:12" x14ac:dyDescent="0.3">
      <c r="A569" t="s">
        <v>607</v>
      </c>
      <c r="B569" t="s">
        <v>91</v>
      </c>
      <c r="C569" t="s">
        <v>15</v>
      </c>
      <c r="D569" t="s">
        <v>28</v>
      </c>
      <c r="E569">
        <v>55</v>
      </c>
      <c r="F569" t="s">
        <v>17</v>
      </c>
      <c r="G569">
        <v>129</v>
      </c>
      <c r="H569">
        <v>104</v>
      </c>
      <c r="I569" t="str">
        <f>_xlfn.XLOOKUP($C569,dim_campaigns!$D$2:$D$3,dim_campaigns!$A$2:$A$3,"",0)</f>
        <v>Diwali</v>
      </c>
      <c r="J569" s="6">
        <f t="shared" si="16"/>
        <v>-0.19379844961240311</v>
      </c>
      <c r="K569">
        <f t="shared" si="17"/>
        <v>11385</v>
      </c>
      <c r="L569" t="str">
        <f>VLOOKUP($B569,dim_stores!$A$1:$C$51,2,0)</f>
        <v>Hyderabad</v>
      </c>
    </row>
    <row r="570" spans="1:12" x14ac:dyDescent="0.3">
      <c r="A570" t="s">
        <v>608</v>
      </c>
      <c r="B570" t="s">
        <v>99</v>
      </c>
      <c r="C570" t="s">
        <v>10</v>
      </c>
      <c r="D570" t="s">
        <v>48</v>
      </c>
      <c r="E570">
        <v>62</v>
      </c>
      <c r="F570" t="s">
        <v>12</v>
      </c>
      <c r="G570">
        <v>36</v>
      </c>
      <c r="H570">
        <v>55</v>
      </c>
      <c r="I570" t="str">
        <f>_xlfn.XLOOKUP($C570,dim_campaigns!$D$2:$D$3,dim_campaigns!$A$2:$A$3,"",0)</f>
        <v>Sankranti</v>
      </c>
      <c r="J570" s="6">
        <f t="shared" si="16"/>
        <v>0.52777777777777779</v>
      </c>
      <c r="K570">
        <f t="shared" si="17"/>
        <v>3937</v>
      </c>
      <c r="L570" t="str">
        <f>VLOOKUP($B570,dim_stores!$A$1:$C$51,2,0)</f>
        <v>Coimbatore</v>
      </c>
    </row>
    <row r="571" spans="1:12" x14ac:dyDescent="0.3">
      <c r="A571" t="s">
        <v>609</v>
      </c>
      <c r="B571" t="s">
        <v>119</v>
      </c>
      <c r="C571" t="s">
        <v>10</v>
      </c>
      <c r="D571" t="s">
        <v>24</v>
      </c>
      <c r="E571">
        <v>3000</v>
      </c>
      <c r="F571" t="s">
        <v>25</v>
      </c>
      <c r="G571">
        <v>127</v>
      </c>
      <c r="H571">
        <v>367</v>
      </c>
      <c r="I571" t="str">
        <f>_xlfn.XLOOKUP($C571,dim_campaigns!$D$2:$D$3,dim_campaigns!$A$2:$A$3,"",0)</f>
        <v>Sankranti</v>
      </c>
      <c r="J571" s="6">
        <f t="shared" si="16"/>
        <v>1.889763779527559</v>
      </c>
      <c r="K571">
        <f t="shared" si="17"/>
        <v>1298500</v>
      </c>
      <c r="L571" t="str">
        <f>VLOOKUP($B571,dim_stores!$A$1:$C$51,2,0)</f>
        <v>Chennai</v>
      </c>
    </row>
    <row r="572" spans="1:12" x14ac:dyDescent="0.3">
      <c r="A572">
        <v>837127</v>
      </c>
      <c r="B572" t="s">
        <v>19</v>
      </c>
      <c r="C572" t="s">
        <v>15</v>
      </c>
      <c r="D572" t="s">
        <v>16</v>
      </c>
      <c r="E572">
        <v>156</v>
      </c>
      <c r="F572" t="s">
        <v>17</v>
      </c>
      <c r="G572">
        <v>208</v>
      </c>
      <c r="H572">
        <v>197</v>
      </c>
      <c r="I572" t="str">
        <f>_xlfn.XLOOKUP($C572,dim_campaigns!$D$2:$D$3,dim_campaigns!$A$2:$A$3,"",0)</f>
        <v>Diwali</v>
      </c>
      <c r="J572" s="6">
        <f t="shared" si="16"/>
        <v>-5.2884615384615384E-2</v>
      </c>
      <c r="K572">
        <f t="shared" si="17"/>
        <v>55497</v>
      </c>
      <c r="L572" t="str">
        <f>VLOOKUP($B572,dim_stores!$A$1:$C$51,2,0)</f>
        <v>Vijayawada</v>
      </c>
    </row>
    <row r="573" spans="1:12" x14ac:dyDescent="0.3">
      <c r="A573" t="s">
        <v>610</v>
      </c>
      <c r="B573" t="s">
        <v>42</v>
      </c>
      <c r="C573" t="s">
        <v>15</v>
      </c>
      <c r="D573" t="s">
        <v>35</v>
      </c>
      <c r="E573">
        <v>350</v>
      </c>
      <c r="F573" t="s">
        <v>21</v>
      </c>
      <c r="G573">
        <v>63</v>
      </c>
      <c r="H573">
        <v>189</v>
      </c>
      <c r="I573" t="str">
        <f>_xlfn.XLOOKUP($C573,dim_campaigns!$D$2:$D$3,dim_campaigns!$A$2:$A$3,"",0)</f>
        <v>Diwali</v>
      </c>
      <c r="J573" s="6">
        <f t="shared" si="16"/>
        <v>2</v>
      </c>
      <c r="K573">
        <f t="shared" si="17"/>
        <v>55125</v>
      </c>
      <c r="L573" t="str">
        <f>VLOOKUP($B573,dim_stores!$A$1:$C$51,2,0)</f>
        <v>Mysuru</v>
      </c>
    </row>
    <row r="574" spans="1:12" x14ac:dyDescent="0.3">
      <c r="A574" t="s">
        <v>611</v>
      </c>
      <c r="B574" t="s">
        <v>31</v>
      </c>
      <c r="C574" t="s">
        <v>15</v>
      </c>
      <c r="D574" t="s">
        <v>28</v>
      </c>
      <c r="E574">
        <v>55</v>
      </c>
      <c r="F574" t="s">
        <v>17</v>
      </c>
      <c r="G574">
        <v>70</v>
      </c>
      <c r="H574">
        <v>62</v>
      </c>
      <c r="I574" t="str">
        <f>_xlfn.XLOOKUP($C574,dim_campaigns!$D$2:$D$3,dim_campaigns!$A$2:$A$3,"",0)</f>
        <v>Diwali</v>
      </c>
      <c r="J574" s="6">
        <f t="shared" si="16"/>
        <v>-0.11428571428571428</v>
      </c>
      <c r="K574">
        <f t="shared" si="17"/>
        <v>6407.5</v>
      </c>
      <c r="L574" t="str">
        <f>VLOOKUP($B574,dim_stores!$A$1:$C$51,2,0)</f>
        <v>Visakhapatnam</v>
      </c>
    </row>
    <row r="575" spans="1:12" x14ac:dyDescent="0.3">
      <c r="A575" t="s">
        <v>612</v>
      </c>
      <c r="B575" t="s">
        <v>52</v>
      </c>
      <c r="C575" t="s">
        <v>15</v>
      </c>
      <c r="D575" t="s">
        <v>24</v>
      </c>
      <c r="E575">
        <v>3000</v>
      </c>
      <c r="F575" t="s">
        <v>25</v>
      </c>
      <c r="G575">
        <v>292</v>
      </c>
      <c r="H575">
        <v>750</v>
      </c>
      <c r="I575" t="str">
        <f>_xlfn.XLOOKUP($C575,dim_campaigns!$D$2:$D$3,dim_campaigns!$A$2:$A$3,"",0)</f>
        <v>Diwali</v>
      </c>
      <c r="J575" s="6">
        <f t="shared" si="16"/>
        <v>1.5684931506849316</v>
      </c>
      <c r="K575">
        <f t="shared" si="17"/>
        <v>2751000</v>
      </c>
      <c r="L575" t="str">
        <f>VLOOKUP($B575,dim_stores!$A$1:$C$51,2,0)</f>
        <v>Visakhapatnam</v>
      </c>
    </row>
    <row r="576" spans="1:12" x14ac:dyDescent="0.3">
      <c r="A576" s="1">
        <v>342000000</v>
      </c>
      <c r="B576" t="s">
        <v>75</v>
      </c>
      <c r="C576" t="s">
        <v>10</v>
      </c>
      <c r="D576" t="s">
        <v>11</v>
      </c>
      <c r="E576">
        <v>190</v>
      </c>
      <c r="F576" t="s">
        <v>12</v>
      </c>
      <c r="G576">
        <v>34</v>
      </c>
      <c r="H576">
        <v>38</v>
      </c>
      <c r="I576" t="str">
        <f>_xlfn.XLOOKUP($C576,dim_campaigns!$D$2:$D$3,dim_campaigns!$A$2:$A$3,"",0)</f>
        <v>Sankranti</v>
      </c>
      <c r="J576" s="6">
        <f t="shared" si="16"/>
        <v>0.11764705882352941</v>
      </c>
      <c r="K576">
        <f t="shared" si="17"/>
        <v>10070</v>
      </c>
      <c r="L576" t="str">
        <f>VLOOKUP($B576,dim_stores!$A$1:$C$51,2,0)</f>
        <v>Madurai</v>
      </c>
    </row>
    <row r="577" spans="1:12" x14ac:dyDescent="0.3">
      <c r="A577" t="s">
        <v>613</v>
      </c>
      <c r="B577" t="s">
        <v>29</v>
      </c>
      <c r="C577" t="s">
        <v>15</v>
      </c>
      <c r="D577" t="s">
        <v>68</v>
      </c>
      <c r="E577">
        <v>1020</v>
      </c>
      <c r="F577" t="s">
        <v>21</v>
      </c>
      <c r="G577">
        <v>40</v>
      </c>
      <c r="H577">
        <v>138</v>
      </c>
      <c r="I577" t="str">
        <f>_xlfn.XLOOKUP($C577,dim_campaigns!$D$2:$D$3,dim_campaigns!$A$2:$A$3,"",0)</f>
        <v>Diwali</v>
      </c>
      <c r="J577" s="6">
        <f t="shared" si="16"/>
        <v>2.4500000000000002</v>
      </c>
      <c r="K577">
        <f t="shared" si="17"/>
        <v>111180</v>
      </c>
      <c r="L577" t="str">
        <f>VLOOKUP($B577,dim_stores!$A$1:$C$51,2,0)</f>
        <v>Bengaluru</v>
      </c>
    </row>
    <row r="578" spans="1:12" x14ac:dyDescent="0.3">
      <c r="A578" t="s">
        <v>614</v>
      </c>
      <c r="B578" t="s">
        <v>67</v>
      </c>
      <c r="C578" t="s">
        <v>10</v>
      </c>
      <c r="D578" t="s">
        <v>85</v>
      </c>
      <c r="E578">
        <v>90</v>
      </c>
      <c r="F578" t="s">
        <v>17</v>
      </c>
      <c r="G578">
        <v>54</v>
      </c>
      <c r="H578">
        <v>45</v>
      </c>
      <c r="I578" t="str">
        <f>_xlfn.XLOOKUP($C578,dim_campaigns!$D$2:$D$3,dim_campaigns!$A$2:$A$3,"",0)</f>
        <v>Sankranti</v>
      </c>
      <c r="J578" s="6">
        <f t="shared" si="16"/>
        <v>-0.16666666666666666</v>
      </c>
      <c r="K578">
        <f t="shared" si="17"/>
        <v>7897.5</v>
      </c>
      <c r="L578" t="str">
        <f>VLOOKUP($B578,dim_stores!$A$1:$C$51,2,0)</f>
        <v>Bengaluru</v>
      </c>
    </row>
    <row r="579" spans="1:12" x14ac:dyDescent="0.3">
      <c r="A579" t="s">
        <v>615</v>
      </c>
      <c r="B579" t="s">
        <v>65</v>
      </c>
      <c r="C579" t="s">
        <v>10</v>
      </c>
      <c r="D579" t="s">
        <v>35</v>
      </c>
      <c r="E579">
        <v>350</v>
      </c>
      <c r="F579" t="s">
        <v>21</v>
      </c>
      <c r="G579">
        <v>111</v>
      </c>
      <c r="H579">
        <v>441</v>
      </c>
      <c r="I579" t="str">
        <f>_xlfn.XLOOKUP($C579,dim_campaigns!$D$2:$D$3,dim_campaigns!$A$2:$A$3,"",0)</f>
        <v>Sankranti</v>
      </c>
      <c r="J579" s="6">
        <f t="shared" ref="J579:J642" si="18">IFERROR((H579-G579)/G579,0)</f>
        <v>2.9729729729729728</v>
      </c>
      <c r="K579">
        <f t="shared" ref="K579:K642" si="19">E579*G579+(E579-IF(F579="500 Cashback",500,IF(F579="BOGOF",E579*50%,IF(F579="25% OFF",E579*25%,IF(F579="33% OFF",E579*33%,IF(F579="50% OFF",E579*50%,0))))))*H579</f>
        <v>116025</v>
      </c>
      <c r="L579" t="str">
        <f>VLOOKUP($B579,dim_stores!$A$1:$C$51,2,0)</f>
        <v>Hyderabad</v>
      </c>
    </row>
    <row r="580" spans="1:12" x14ac:dyDescent="0.3">
      <c r="A580" t="s">
        <v>616</v>
      </c>
      <c r="B580" t="s">
        <v>70</v>
      </c>
      <c r="C580" t="s">
        <v>15</v>
      </c>
      <c r="D580" t="s">
        <v>20</v>
      </c>
      <c r="E580">
        <v>300</v>
      </c>
      <c r="F580" t="s">
        <v>21</v>
      </c>
      <c r="G580">
        <v>61</v>
      </c>
      <c r="H580">
        <v>236</v>
      </c>
      <c r="I580" t="str">
        <f>_xlfn.XLOOKUP($C580,dim_campaigns!$D$2:$D$3,dim_campaigns!$A$2:$A$3,"",0)</f>
        <v>Diwali</v>
      </c>
      <c r="J580" s="6">
        <f t="shared" si="18"/>
        <v>2.8688524590163933</v>
      </c>
      <c r="K580">
        <f t="shared" si="19"/>
        <v>53700</v>
      </c>
      <c r="L580" t="str">
        <f>VLOOKUP($B580,dim_stores!$A$1:$C$51,2,0)</f>
        <v>Chennai</v>
      </c>
    </row>
    <row r="581" spans="1:12" x14ac:dyDescent="0.3">
      <c r="A581" t="s">
        <v>617</v>
      </c>
      <c r="B581" t="s">
        <v>23</v>
      </c>
      <c r="C581" t="s">
        <v>10</v>
      </c>
      <c r="D581" t="s">
        <v>24</v>
      </c>
      <c r="E581">
        <v>3000</v>
      </c>
      <c r="F581" t="s">
        <v>25</v>
      </c>
      <c r="G581">
        <v>82</v>
      </c>
      <c r="H581">
        <v>190</v>
      </c>
      <c r="I581" t="str">
        <f>_xlfn.XLOOKUP($C581,dim_campaigns!$D$2:$D$3,dim_campaigns!$A$2:$A$3,"",0)</f>
        <v>Sankranti</v>
      </c>
      <c r="J581" s="6">
        <f t="shared" si="18"/>
        <v>1.3170731707317074</v>
      </c>
      <c r="K581">
        <f t="shared" si="19"/>
        <v>721000</v>
      </c>
      <c r="L581" t="str">
        <f>VLOOKUP($B581,dim_stores!$A$1:$C$51,2,0)</f>
        <v>Coimbatore</v>
      </c>
    </row>
    <row r="582" spans="1:12" x14ac:dyDescent="0.3">
      <c r="A582" t="s">
        <v>618</v>
      </c>
      <c r="B582" t="s">
        <v>161</v>
      </c>
      <c r="C582" t="s">
        <v>15</v>
      </c>
      <c r="D582" t="s">
        <v>11</v>
      </c>
      <c r="E582">
        <v>190</v>
      </c>
      <c r="F582" t="s">
        <v>12</v>
      </c>
      <c r="G582">
        <v>87</v>
      </c>
      <c r="H582">
        <v>114</v>
      </c>
      <c r="I582" t="str">
        <f>_xlfn.XLOOKUP($C582,dim_campaigns!$D$2:$D$3,dim_campaigns!$A$2:$A$3,"",0)</f>
        <v>Diwali</v>
      </c>
      <c r="J582" s="6">
        <f t="shared" si="18"/>
        <v>0.31034482758620691</v>
      </c>
      <c r="K582">
        <f t="shared" si="19"/>
        <v>27360</v>
      </c>
      <c r="L582" t="str">
        <f>VLOOKUP($B582,dim_stores!$A$1:$C$51,2,0)</f>
        <v>Chennai</v>
      </c>
    </row>
    <row r="583" spans="1:12" x14ac:dyDescent="0.3">
      <c r="A583" t="s">
        <v>619</v>
      </c>
      <c r="B583" t="s">
        <v>137</v>
      </c>
      <c r="C583" t="s">
        <v>10</v>
      </c>
      <c r="D583" t="s">
        <v>32</v>
      </c>
      <c r="E583">
        <v>50</v>
      </c>
      <c r="F583" t="s">
        <v>17</v>
      </c>
      <c r="G583">
        <v>19</v>
      </c>
      <c r="H583">
        <v>15</v>
      </c>
      <c r="I583" t="str">
        <f>_xlfn.XLOOKUP($C583,dim_campaigns!$D$2:$D$3,dim_campaigns!$A$2:$A$3,"",0)</f>
        <v>Sankranti</v>
      </c>
      <c r="J583" s="6">
        <f t="shared" si="18"/>
        <v>-0.21052631578947367</v>
      </c>
      <c r="K583">
        <f t="shared" si="19"/>
        <v>1512.5</v>
      </c>
      <c r="L583" t="str">
        <f>VLOOKUP($B583,dim_stores!$A$1:$C$51,2,0)</f>
        <v>Mangalore</v>
      </c>
    </row>
    <row r="584" spans="1:12" x14ac:dyDescent="0.3">
      <c r="A584" t="s">
        <v>620</v>
      </c>
      <c r="B584" t="s">
        <v>42</v>
      </c>
      <c r="C584" t="s">
        <v>10</v>
      </c>
      <c r="D584" t="s">
        <v>11</v>
      </c>
      <c r="E584">
        <v>190</v>
      </c>
      <c r="F584" t="s">
        <v>12</v>
      </c>
      <c r="G584">
        <v>61</v>
      </c>
      <c r="H584">
        <v>86</v>
      </c>
      <c r="I584" t="str">
        <f>_xlfn.XLOOKUP($C584,dim_campaigns!$D$2:$D$3,dim_campaigns!$A$2:$A$3,"",0)</f>
        <v>Sankranti</v>
      </c>
      <c r="J584" s="6">
        <f t="shared" si="18"/>
        <v>0.4098360655737705</v>
      </c>
      <c r="K584">
        <f t="shared" si="19"/>
        <v>19760</v>
      </c>
      <c r="L584" t="str">
        <f>VLOOKUP($B584,dim_stores!$A$1:$C$51,2,0)</f>
        <v>Mysuru</v>
      </c>
    </row>
    <row r="585" spans="1:12" x14ac:dyDescent="0.3">
      <c r="A585" t="s">
        <v>621</v>
      </c>
      <c r="B585" t="s">
        <v>142</v>
      </c>
      <c r="C585" t="s">
        <v>15</v>
      </c>
      <c r="D585" t="s">
        <v>68</v>
      </c>
      <c r="E585">
        <v>1020</v>
      </c>
      <c r="F585" t="s">
        <v>21</v>
      </c>
      <c r="G585">
        <v>36</v>
      </c>
      <c r="H585">
        <v>126</v>
      </c>
      <c r="I585" t="str">
        <f>_xlfn.XLOOKUP($C585,dim_campaigns!$D$2:$D$3,dim_campaigns!$A$2:$A$3,"",0)</f>
        <v>Diwali</v>
      </c>
      <c r="J585" s="6">
        <f t="shared" si="18"/>
        <v>2.5</v>
      </c>
      <c r="K585">
        <f t="shared" si="19"/>
        <v>100980</v>
      </c>
      <c r="L585" t="str">
        <f>VLOOKUP($B585,dim_stores!$A$1:$C$51,2,0)</f>
        <v>Madurai</v>
      </c>
    </row>
    <row r="586" spans="1:12" x14ac:dyDescent="0.3">
      <c r="A586" t="s">
        <v>622</v>
      </c>
      <c r="B586" t="s">
        <v>42</v>
      </c>
      <c r="C586" t="s">
        <v>15</v>
      </c>
      <c r="D586" t="s">
        <v>48</v>
      </c>
      <c r="E586">
        <v>62</v>
      </c>
      <c r="F586" t="s">
        <v>12</v>
      </c>
      <c r="G586">
        <v>77</v>
      </c>
      <c r="H586">
        <v>97</v>
      </c>
      <c r="I586" t="str">
        <f>_xlfn.XLOOKUP($C586,dim_campaigns!$D$2:$D$3,dim_campaigns!$A$2:$A$3,"",0)</f>
        <v>Diwali</v>
      </c>
      <c r="J586" s="6">
        <f t="shared" si="18"/>
        <v>0.25974025974025972</v>
      </c>
      <c r="K586">
        <f t="shared" si="19"/>
        <v>7781</v>
      </c>
      <c r="L586" t="str">
        <f>VLOOKUP($B586,dim_stores!$A$1:$C$51,2,0)</f>
        <v>Mysuru</v>
      </c>
    </row>
    <row r="587" spans="1:12" x14ac:dyDescent="0.3">
      <c r="A587" t="s">
        <v>623</v>
      </c>
      <c r="B587" t="s">
        <v>63</v>
      </c>
      <c r="C587" t="s">
        <v>10</v>
      </c>
      <c r="D587" t="s">
        <v>85</v>
      </c>
      <c r="E587">
        <v>90</v>
      </c>
      <c r="F587" t="s">
        <v>17</v>
      </c>
      <c r="G587">
        <v>40</v>
      </c>
      <c r="H587">
        <v>28</v>
      </c>
      <c r="I587" t="str">
        <f>_xlfn.XLOOKUP($C587,dim_campaigns!$D$2:$D$3,dim_campaigns!$A$2:$A$3,"",0)</f>
        <v>Sankranti</v>
      </c>
      <c r="J587" s="6">
        <f t="shared" si="18"/>
        <v>-0.3</v>
      </c>
      <c r="K587">
        <f t="shared" si="19"/>
        <v>5490</v>
      </c>
      <c r="L587" t="str">
        <f>VLOOKUP($B587,dim_stores!$A$1:$C$51,2,0)</f>
        <v>Visakhapatnam</v>
      </c>
    </row>
    <row r="588" spans="1:12" x14ac:dyDescent="0.3">
      <c r="A588" t="s">
        <v>624</v>
      </c>
      <c r="B588" t="s">
        <v>58</v>
      </c>
      <c r="C588" t="s">
        <v>10</v>
      </c>
      <c r="D588" t="s">
        <v>85</v>
      </c>
      <c r="E588">
        <v>90</v>
      </c>
      <c r="F588" t="s">
        <v>17</v>
      </c>
      <c r="G588">
        <v>63</v>
      </c>
      <c r="H588">
        <v>53</v>
      </c>
      <c r="I588" t="str">
        <f>_xlfn.XLOOKUP($C588,dim_campaigns!$D$2:$D$3,dim_campaigns!$A$2:$A$3,"",0)</f>
        <v>Sankranti</v>
      </c>
      <c r="J588" s="6">
        <f t="shared" si="18"/>
        <v>-0.15873015873015872</v>
      </c>
      <c r="K588">
        <f t="shared" si="19"/>
        <v>9247.5</v>
      </c>
      <c r="L588" t="str">
        <f>VLOOKUP($B588,dim_stores!$A$1:$C$51,2,0)</f>
        <v>Chennai</v>
      </c>
    </row>
    <row r="589" spans="1:12" x14ac:dyDescent="0.3">
      <c r="A589" t="s">
        <v>625</v>
      </c>
      <c r="B589" t="s">
        <v>37</v>
      </c>
      <c r="C589" t="s">
        <v>10</v>
      </c>
      <c r="D589" t="s">
        <v>16</v>
      </c>
      <c r="E589">
        <v>200</v>
      </c>
      <c r="F589" t="s">
        <v>21</v>
      </c>
      <c r="G589">
        <v>336</v>
      </c>
      <c r="H589">
        <v>913</v>
      </c>
      <c r="I589" t="str">
        <f>_xlfn.XLOOKUP($C589,dim_campaigns!$D$2:$D$3,dim_campaigns!$A$2:$A$3,"",0)</f>
        <v>Sankranti</v>
      </c>
      <c r="J589" s="6">
        <f t="shared" si="18"/>
        <v>1.7172619047619047</v>
      </c>
      <c r="K589">
        <f t="shared" si="19"/>
        <v>158500</v>
      </c>
      <c r="L589" t="str">
        <f>VLOOKUP($B589,dim_stores!$A$1:$C$51,2,0)</f>
        <v>Coimbatore</v>
      </c>
    </row>
    <row r="590" spans="1:12" x14ac:dyDescent="0.3">
      <c r="A590" t="s">
        <v>626</v>
      </c>
      <c r="B590" t="s">
        <v>113</v>
      </c>
      <c r="C590" t="s">
        <v>15</v>
      </c>
      <c r="D590" t="s">
        <v>85</v>
      </c>
      <c r="E590">
        <v>110</v>
      </c>
      <c r="F590" t="s">
        <v>12</v>
      </c>
      <c r="G590">
        <v>59</v>
      </c>
      <c r="H590">
        <v>67</v>
      </c>
      <c r="I590" t="str">
        <f>_xlfn.XLOOKUP($C590,dim_campaigns!$D$2:$D$3,dim_campaigns!$A$2:$A$3,"",0)</f>
        <v>Diwali</v>
      </c>
      <c r="J590" s="6">
        <f t="shared" si="18"/>
        <v>0.13559322033898305</v>
      </c>
      <c r="K590">
        <f t="shared" si="19"/>
        <v>10175</v>
      </c>
      <c r="L590" t="str">
        <f>VLOOKUP($B590,dim_stores!$A$1:$C$51,2,0)</f>
        <v>Chennai</v>
      </c>
    </row>
    <row r="591" spans="1:12" x14ac:dyDescent="0.3">
      <c r="A591" t="s">
        <v>627</v>
      </c>
      <c r="B591" t="s">
        <v>52</v>
      </c>
      <c r="C591" t="s">
        <v>15</v>
      </c>
      <c r="D591" t="s">
        <v>85</v>
      </c>
      <c r="E591">
        <v>110</v>
      </c>
      <c r="F591" t="s">
        <v>12</v>
      </c>
      <c r="G591">
        <v>63</v>
      </c>
      <c r="H591">
        <v>86</v>
      </c>
      <c r="I591" t="str">
        <f>_xlfn.XLOOKUP($C591,dim_campaigns!$D$2:$D$3,dim_campaigns!$A$2:$A$3,"",0)</f>
        <v>Diwali</v>
      </c>
      <c r="J591" s="6">
        <f t="shared" si="18"/>
        <v>0.36507936507936506</v>
      </c>
      <c r="K591">
        <f t="shared" si="19"/>
        <v>11660</v>
      </c>
      <c r="L591" t="str">
        <f>VLOOKUP($B591,dim_stores!$A$1:$C$51,2,0)</f>
        <v>Visakhapatnam</v>
      </c>
    </row>
    <row r="592" spans="1:12" x14ac:dyDescent="0.3">
      <c r="A592" t="s">
        <v>628</v>
      </c>
      <c r="B592" t="s">
        <v>99</v>
      </c>
      <c r="C592" t="s">
        <v>10</v>
      </c>
      <c r="D592" t="s">
        <v>24</v>
      </c>
      <c r="E592">
        <v>3000</v>
      </c>
      <c r="F592" t="s">
        <v>25</v>
      </c>
      <c r="G592">
        <v>91</v>
      </c>
      <c r="H592">
        <v>211</v>
      </c>
      <c r="I592" t="str">
        <f>_xlfn.XLOOKUP($C592,dim_campaigns!$D$2:$D$3,dim_campaigns!$A$2:$A$3,"",0)</f>
        <v>Sankranti</v>
      </c>
      <c r="J592" s="6">
        <f t="shared" si="18"/>
        <v>1.3186813186813187</v>
      </c>
      <c r="K592">
        <f t="shared" si="19"/>
        <v>800500</v>
      </c>
      <c r="L592" t="str">
        <f>VLOOKUP($B592,dim_stores!$A$1:$C$51,2,0)</f>
        <v>Coimbatore</v>
      </c>
    </row>
    <row r="593" spans="1:12" x14ac:dyDescent="0.3">
      <c r="A593" t="s">
        <v>629</v>
      </c>
      <c r="B593" t="s">
        <v>67</v>
      </c>
      <c r="C593" t="s">
        <v>15</v>
      </c>
      <c r="D593" t="s">
        <v>11</v>
      </c>
      <c r="E593">
        <v>190</v>
      </c>
      <c r="F593" t="s">
        <v>12</v>
      </c>
      <c r="G593">
        <v>80</v>
      </c>
      <c r="H593">
        <v>108</v>
      </c>
      <c r="I593" t="str">
        <f>_xlfn.XLOOKUP($C593,dim_campaigns!$D$2:$D$3,dim_campaigns!$A$2:$A$3,"",0)</f>
        <v>Diwali</v>
      </c>
      <c r="J593" s="6">
        <f t="shared" si="18"/>
        <v>0.35</v>
      </c>
      <c r="K593">
        <f t="shared" si="19"/>
        <v>25460</v>
      </c>
      <c r="L593" t="str">
        <f>VLOOKUP($B593,dim_stores!$A$1:$C$51,2,0)</f>
        <v>Bengaluru</v>
      </c>
    </row>
    <row r="594" spans="1:12" x14ac:dyDescent="0.3">
      <c r="A594" t="s">
        <v>630</v>
      </c>
      <c r="B594" t="s">
        <v>34</v>
      </c>
      <c r="C594" t="s">
        <v>10</v>
      </c>
      <c r="D594" t="s">
        <v>16</v>
      </c>
      <c r="E594">
        <v>200</v>
      </c>
      <c r="F594" t="s">
        <v>21</v>
      </c>
      <c r="G594">
        <v>376</v>
      </c>
      <c r="H594">
        <v>1447</v>
      </c>
      <c r="I594" t="str">
        <f>_xlfn.XLOOKUP($C594,dim_campaigns!$D$2:$D$3,dim_campaigns!$A$2:$A$3,"",0)</f>
        <v>Sankranti</v>
      </c>
      <c r="J594" s="6">
        <f t="shared" si="18"/>
        <v>2.8484042553191489</v>
      </c>
      <c r="K594">
        <f t="shared" si="19"/>
        <v>219900</v>
      </c>
      <c r="L594" t="str">
        <f>VLOOKUP($B594,dim_stores!$A$1:$C$51,2,0)</f>
        <v>Hyderabad</v>
      </c>
    </row>
    <row r="595" spans="1:12" x14ac:dyDescent="0.3">
      <c r="A595" t="s">
        <v>631</v>
      </c>
      <c r="B595" t="s">
        <v>161</v>
      </c>
      <c r="C595" t="s">
        <v>10</v>
      </c>
      <c r="D595" t="s">
        <v>85</v>
      </c>
      <c r="E595">
        <v>90</v>
      </c>
      <c r="F595" t="s">
        <v>17</v>
      </c>
      <c r="G595">
        <v>54</v>
      </c>
      <c r="H595">
        <v>51</v>
      </c>
      <c r="I595" t="str">
        <f>_xlfn.XLOOKUP($C595,dim_campaigns!$D$2:$D$3,dim_campaigns!$A$2:$A$3,"",0)</f>
        <v>Sankranti</v>
      </c>
      <c r="J595" s="6">
        <f t="shared" si="18"/>
        <v>-5.5555555555555552E-2</v>
      </c>
      <c r="K595">
        <f t="shared" si="19"/>
        <v>8302.5</v>
      </c>
      <c r="L595" t="str">
        <f>VLOOKUP($B595,dim_stores!$A$1:$C$51,2,0)</f>
        <v>Chennai</v>
      </c>
    </row>
    <row r="596" spans="1:12" x14ac:dyDescent="0.3">
      <c r="A596" t="s">
        <v>632</v>
      </c>
      <c r="B596" t="s">
        <v>81</v>
      </c>
      <c r="C596" t="s">
        <v>10</v>
      </c>
      <c r="D596" t="s">
        <v>85</v>
      </c>
      <c r="E596">
        <v>90</v>
      </c>
      <c r="F596" t="s">
        <v>17</v>
      </c>
      <c r="G596">
        <v>57</v>
      </c>
      <c r="H596">
        <v>47</v>
      </c>
      <c r="I596" t="str">
        <f>_xlfn.XLOOKUP($C596,dim_campaigns!$D$2:$D$3,dim_campaigns!$A$2:$A$3,"",0)</f>
        <v>Sankranti</v>
      </c>
      <c r="J596" s="6">
        <f t="shared" si="18"/>
        <v>-0.17543859649122806</v>
      </c>
      <c r="K596">
        <f t="shared" si="19"/>
        <v>8302.5</v>
      </c>
      <c r="L596" t="str">
        <f>VLOOKUP($B596,dim_stores!$A$1:$C$51,2,0)</f>
        <v>Madurai</v>
      </c>
    </row>
    <row r="597" spans="1:12" x14ac:dyDescent="0.3">
      <c r="A597" t="s">
        <v>633</v>
      </c>
      <c r="B597" t="s">
        <v>93</v>
      </c>
      <c r="C597" t="s">
        <v>15</v>
      </c>
      <c r="D597" t="s">
        <v>35</v>
      </c>
      <c r="E597">
        <v>350</v>
      </c>
      <c r="F597" t="s">
        <v>21</v>
      </c>
      <c r="G597">
        <v>71</v>
      </c>
      <c r="H597">
        <v>248</v>
      </c>
      <c r="I597" t="str">
        <f>_xlfn.XLOOKUP($C597,dim_campaigns!$D$2:$D$3,dim_campaigns!$A$2:$A$3,"",0)</f>
        <v>Diwali</v>
      </c>
      <c r="J597" s="6">
        <f t="shared" si="18"/>
        <v>2.492957746478873</v>
      </c>
      <c r="K597">
        <f t="shared" si="19"/>
        <v>68250</v>
      </c>
      <c r="L597" t="str">
        <f>VLOOKUP($B597,dim_stores!$A$1:$C$51,2,0)</f>
        <v>Bengaluru</v>
      </c>
    </row>
    <row r="598" spans="1:12" x14ac:dyDescent="0.3">
      <c r="A598" t="s">
        <v>634</v>
      </c>
      <c r="B598" t="s">
        <v>47</v>
      </c>
      <c r="C598" t="s">
        <v>10</v>
      </c>
      <c r="D598" t="s">
        <v>51</v>
      </c>
      <c r="E598">
        <v>370</v>
      </c>
      <c r="F598" t="s">
        <v>21</v>
      </c>
      <c r="G598">
        <v>483</v>
      </c>
      <c r="H598">
        <v>1907</v>
      </c>
      <c r="I598" t="str">
        <f>_xlfn.XLOOKUP($C598,dim_campaigns!$D$2:$D$3,dim_campaigns!$A$2:$A$3,"",0)</f>
        <v>Sankranti</v>
      </c>
      <c r="J598" s="6">
        <f t="shared" si="18"/>
        <v>2.9482401656314701</v>
      </c>
      <c r="K598">
        <f t="shared" si="19"/>
        <v>531505</v>
      </c>
      <c r="L598" t="str">
        <f>VLOOKUP($B598,dim_stores!$A$1:$C$51,2,0)</f>
        <v>Chennai</v>
      </c>
    </row>
    <row r="599" spans="1:12" x14ac:dyDescent="0.3">
      <c r="A599" t="s">
        <v>635</v>
      </c>
      <c r="B599" t="s">
        <v>65</v>
      </c>
      <c r="C599" t="s">
        <v>15</v>
      </c>
      <c r="D599" t="s">
        <v>28</v>
      </c>
      <c r="E599">
        <v>55</v>
      </c>
      <c r="F599" t="s">
        <v>17</v>
      </c>
      <c r="G599">
        <v>106</v>
      </c>
      <c r="H599">
        <v>102</v>
      </c>
      <c r="I599" t="str">
        <f>_xlfn.XLOOKUP($C599,dim_campaigns!$D$2:$D$3,dim_campaigns!$A$2:$A$3,"",0)</f>
        <v>Diwali</v>
      </c>
      <c r="J599" s="6">
        <f t="shared" si="18"/>
        <v>-3.7735849056603772E-2</v>
      </c>
      <c r="K599">
        <f t="shared" si="19"/>
        <v>10037.5</v>
      </c>
      <c r="L599" t="str">
        <f>VLOOKUP($B599,dim_stores!$A$1:$C$51,2,0)</f>
        <v>Hyderabad</v>
      </c>
    </row>
    <row r="600" spans="1:12" x14ac:dyDescent="0.3">
      <c r="A600" t="s">
        <v>636</v>
      </c>
      <c r="B600" t="s">
        <v>119</v>
      </c>
      <c r="C600" t="s">
        <v>10</v>
      </c>
      <c r="D600" t="s">
        <v>11</v>
      </c>
      <c r="E600">
        <v>190</v>
      </c>
      <c r="F600" t="s">
        <v>12</v>
      </c>
      <c r="G600">
        <v>48</v>
      </c>
      <c r="H600">
        <v>69</v>
      </c>
      <c r="I600" t="str">
        <f>_xlfn.XLOOKUP($C600,dim_campaigns!$D$2:$D$3,dim_campaigns!$A$2:$A$3,"",0)</f>
        <v>Sankranti</v>
      </c>
      <c r="J600" s="6">
        <f t="shared" si="18"/>
        <v>0.4375</v>
      </c>
      <c r="K600">
        <f t="shared" si="19"/>
        <v>15675</v>
      </c>
      <c r="L600" t="str">
        <f>VLOOKUP($B600,dim_stores!$A$1:$C$51,2,0)</f>
        <v>Chennai</v>
      </c>
    </row>
    <row r="601" spans="1:12" x14ac:dyDescent="0.3">
      <c r="A601" t="s">
        <v>637</v>
      </c>
      <c r="B601" t="s">
        <v>63</v>
      </c>
      <c r="C601" t="s">
        <v>10</v>
      </c>
      <c r="D601" t="s">
        <v>11</v>
      </c>
      <c r="E601">
        <v>190</v>
      </c>
      <c r="F601" t="s">
        <v>12</v>
      </c>
      <c r="G601">
        <v>28</v>
      </c>
      <c r="H601">
        <v>40</v>
      </c>
      <c r="I601" t="str">
        <f>_xlfn.XLOOKUP($C601,dim_campaigns!$D$2:$D$3,dim_campaigns!$A$2:$A$3,"",0)</f>
        <v>Sankranti</v>
      </c>
      <c r="J601" s="6">
        <f t="shared" si="18"/>
        <v>0.42857142857142855</v>
      </c>
      <c r="K601">
        <f t="shared" si="19"/>
        <v>9120</v>
      </c>
      <c r="L601" t="str">
        <f>VLOOKUP($B601,dim_stores!$A$1:$C$51,2,0)</f>
        <v>Visakhapatnam</v>
      </c>
    </row>
    <row r="602" spans="1:12" x14ac:dyDescent="0.3">
      <c r="A602" t="s">
        <v>638</v>
      </c>
      <c r="B602" t="s">
        <v>50</v>
      </c>
      <c r="C602" t="s">
        <v>15</v>
      </c>
      <c r="D602" t="s">
        <v>38</v>
      </c>
      <c r="E602">
        <v>1190</v>
      </c>
      <c r="F602" t="s">
        <v>21</v>
      </c>
      <c r="G602">
        <v>43</v>
      </c>
      <c r="H602">
        <v>145</v>
      </c>
      <c r="I602" t="str">
        <f>_xlfn.XLOOKUP($C602,dim_campaigns!$D$2:$D$3,dim_campaigns!$A$2:$A$3,"",0)</f>
        <v>Diwali</v>
      </c>
      <c r="J602" s="6">
        <f t="shared" si="18"/>
        <v>2.3720930232558142</v>
      </c>
      <c r="K602">
        <f t="shared" si="19"/>
        <v>137445</v>
      </c>
      <c r="L602" t="str">
        <f>VLOOKUP($B602,dim_stores!$A$1:$C$51,2,0)</f>
        <v>Bengaluru</v>
      </c>
    </row>
    <row r="603" spans="1:12" x14ac:dyDescent="0.3">
      <c r="A603">
        <v>311946</v>
      </c>
      <c r="B603" t="s">
        <v>93</v>
      </c>
      <c r="C603" t="s">
        <v>15</v>
      </c>
      <c r="D603" t="s">
        <v>28</v>
      </c>
      <c r="E603">
        <v>55</v>
      </c>
      <c r="F603" t="s">
        <v>17</v>
      </c>
      <c r="G603">
        <v>119</v>
      </c>
      <c r="H603">
        <v>107</v>
      </c>
      <c r="I603" t="str">
        <f>_xlfn.XLOOKUP($C603,dim_campaigns!$D$2:$D$3,dim_campaigns!$A$2:$A$3,"",0)</f>
        <v>Diwali</v>
      </c>
      <c r="J603" s="6">
        <f t="shared" si="18"/>
        <v>-0.10084033613445378</v>
      </c>
      <c r="K603">
        <f t="shared" si="19"/>
        <v>10958.75</v>
      </c>
      <c r="L603" t="str">
        <f>VLOOKUP($B603,dim_stores!$A$1:$C$51,2,0)</f>
        <v>Bengaluru</v>
      </c>
    </row>
    <row r="604" spans="1:12" x14ac:dyDescent="0.3">
      <c r="A604">
        <v>598637</v>
      </c>
      <c r="B604" t="s">
        <v>161</v>
      </c>
      <c r="C604" t="s">
        <v>15</v>
      </c>
      <c r="D604" t="s">
        <v>85</v>
      </c>
      <c r="E604">
        <v>110</v>
      </c>
      <c r="F604" t="s">
        <v>12</v>
      </c>
      <c r="G604">
        <v>71</v>
      </c>
      <c r="H604">
        <v>90</v>
      </c>
      <c r="I604" t="str">
        <f>_xlfn.XLOOKUP($C604,dim_campaigns!$D$2:$D$3,dim_campaigns!$A$2:$A$3,"",0)</f>
        <v>Diwali</v>
      </c>
      <c r="J604" s="6">
        <f t="shared" si="18"/>
        <v>0.26760563380281688</v>
      </c>
      <c r="K604">
        <f t="shared" si="19"/>
        <v>12760</v>
      </c>
      <c r="L604" t="str">
        <f>VLOOKUP($B604,dim_stores!$A$1:$C$51,2,0)</f>
        <v>Chennai</v>
      </c>
    </row>
    <row r="605" spans="1:12" x14ac:dyDescent="0.3">
      <c r="A605" t="s">
        <v>639</v>
      </c>
      <c r="B605" t="s">
        <v>27</v>
      </c>
      <c r="C605" t="s">
        <v>15</v>
      </c>
      <c r="D605" t="s">
        <v>48</v>
      </c>
      <c r="E605">
        <v>62</v>
      </c>
      <c r="F605" t="s">
        <v>12</v>
      </c>
      <c r="G605">
        <v>112</v>
      </c>
      <c r="H605">
        <v>165</v>
      </c>
      <c r="I605" t="str">
        <f>_xlfn.XLOOKUP($C605,dim_campaigns!$D$2:$D$3,dim_campaigns!$A$2:$A$3,"",0)</f>
        <v>Diwali</v>
      </c>
      <c r="J605" s="6">
        <f t="shared" si="18"/>
        <v>0.4732142857142857</v>
      </c>
      <c r="K605">
        <f t="shared" si="19"/>
        <v>12059</v>
      </c>
      <c r="L605" t="str">
        <f>VLOOKUP($B605,dim_stores!$A$1:$C$51,2,0)</f>
        <v>Bengaluru</v>
      </c>
    </row>
    <row r="606" spans="1:12" x14ac:dyDescent="0.3">
      <c r="A606" t="s">
        <v>640</v>
      </c>
      <c r="B606" t="s">
        <v>60</v>
      </c>
      <c r="C606" t="s">
        <v>15</v>
      </c>
      <c r="D606" t="s">
        <v>20</v>
      </c>
      <c r="E606">
        <v>300</v>
      </c>
      <c r="F606" t="s">
        <v>21</v>
      </c>
      <c r="G606">
        <v>26</v>
      </c>
      <c r="H606">
        <v>87</v>
      </c>
      <c r="I606" t="str">
        <f>_xlfn.XLOOKUP($C606,dim_campaigns!$D$2:$D$3,dim_campaigns!$A$2:$A$3,"",0)</f>
        <v>Diwali</v>
      </c>
      <c r="J606" s="6">
        <f t="shared" si="18"/>
        <v>2.3461538461538463</v>
      </c>
      <c r="K606">
        <f t="shared" si="19"/>
        <v>20850</v>
      </c>
      <c r="L606" t="str">
        <f>VLOOKUP($B606,dim_stores!$A$1:$C$51,2,0)</f>
        <v>Trivandrum</v>
      </c>
    </row>
    <row r="607" spans="1:12" x14ac:dyDescent="0.3">
      <c r="A607" t="s">
        <v>641</v>
      </c>
      <c r="B607" t="s">
        <v>81</v>
      </c>
      <c r="C607" t="s">
        <v>10</v>
      </c>
      <c r="D607" t="s">
        <v>32</v>
      </c>
      <c r="E607">
        <v>50</v>
      </c>
      <c r="F607" t="s">
        <v>17</v>
      </c>
      <c r="G607">
        <v>22</v>
      </c>
      <c r="H607">
        <v>18</v>
      </c>
      <c r="I607" t="str">
        <f>_xlfn.XLOOKUP($C607,dim_campaigns!$D$2:$D$3,dim_campaigns!$A$2:$A$3,"",0)</f>
        <v>Sankranti</v>
      </c>
      <c r="J607" s="6">
        <f t="shared" si="18"/>
        <v>-0.18181818181818182</v>
      </c>
      <c r="K607">
        <f t="shared" si="19"/>
        <v>1775</v>
      </c>
      <c r="L607" t="str">
        <f>VLOOKUP($B607,dim_stores!$A$1:$C$51,2,0)</f>
        <v>Madurai</v>
      </c>
    </row>
    <row r="608" spans="1:12" x14ac:dyDescent="0.3">
      <c r="A608" t="s">
        <v>642</v>
      </c>
      <c r="B608" t="s">
        <v>119</v>
      </c>
      <c r="C608" t="s">
        <v>10</v>
      </c>
      <c r="D608" t="s">
        <v>51</v>
      </c>
      <c r="E608">
        <v>370</v>
      </c>
      <c r="F608" t="s">
        <v>21</v>
      </c>
      <c r="G608">
        <v>379</v>
      </c>
      <c r="H608">
        <v>1622</v>
      </c>
      <c r="I608" t="str">
        <f>_xlfn.XLOOKUP($C608,dim_campaigns!$D$2:$D$3,dim_campaigns!$A$2:$A$3,"",0)</f>
        <v>Sankranti</v>
      </c>
      <c r="J608" s="6">
        <f t="shared" si="18"/>
        <v>3.2796833773087073</v>
      </c>
      <c r="K608">
        <f t="shared" si="19"/>
        <v>440300</v>
      </c>
      <c r="L608" t="str">
        <f>VLOOKUP($B608,dim_stores!$A$1:$C$51,2,0)</f>
        <v>Chennai</v>
      </c>
    </row>
    <row r="609" spans="1:12" x14ac:dyDescent="0.3">
      <c r="A609" t="s">
        <v>643</v>
      </c>
      <c r="B609" t="s">
        <v>117</v>
      </c>
      <c r="C609" t="s">
        <v>15</v>
      </c>
      <c r="D609" t="s">
        <v>61</v>
      </c>
      <c r="E609">
        <v>172</v>
      </c>
      <c r="F609" t="s">
        <v>54</v>
      </c>
      <c r="G609">
        <v>141</v>
      </c>
      <c r="H609">
        <v>217</v>
      </c>
      <c r="I609" t="str">
        <f>_xlfn.XLOOKUP($C609,dim_campaigns!$D$2:$D$3,dim_campaigns!$A$2:$A$3,"",0)</f>
        <v>Diwali</v>
      </c>
      <c r="J609" s="6">
        <f t="shared" si="18"/>
        <v>0.53900709219858156</v>
      </c>
      <c r="K609">
        <f t="shared" si="19"/>
        <v>49259.08</v>
      </c>
      <c r="L609" t="str">
        <f>VLOOKUP($B609,dim_stores!$A$1:$C$51,2,0)</f>
        <v>Mangalore</v>
      </c>
    </row>
    <row r="610" spans="1:12" x14ac:dyDescent="0.3">
      <c r="A610" t="s">
        <v>644</v>
      </c>
      <c r="B610" t="s">
        <v>190</v>
      </c>
      <c r="C610" t="s">
        <v>10</v>
      </c>
      <c r="D610" t="s">
        <v>85</v>
      </c>
      <c r="E610">
        <v>90</v>
      </c>
      <c r="F610" t="s">
        <v>17</v>
      </c>
      <c r="G610">
        <v>42</v>
      </c>
      <c r="H610">
        <v>35</v>
      </c>
      <c r="I610" t="str">
        <f>_xlfn.XLOOKUP($C610,dim_campaigns!$D$2:$D$3,dim_campaigns!$A$2:$A$3,"",0)</f>
        <v>Sankranti</v>
      </c>
      <c r="J610" s="6">
        <f t="shared" si="18"/>
        <v>-0.16666666666666666</v>
      </c>
      <c r="K610">
        <f t="shared" si="19"/>
        <v>6142.5</v>
      </c>
      <c r="L610" t="str">
        <f>VLOOKUP($B610,dim_stores!$A$1:$C$51,2,0)</f>
        <v>Visakhapatnam</v>
      </c>
    </row>
    <row r="611" spans="1:12" x14ac:dyDescent="0.3">
      <c r="A611" t="s">
        <v>645</v>
      </c>
      <c r="B611" t="s">
        <v>58</v>
      </c>
      <c r="C611" t="s">
        <v>10</v>
      </c>
      <c r="D611" t="s">
        <v>68</v>
      </c>
      <c r="E611">
        <v>1020</v>
      </c>
      <c r="F611" t="s">
        <v>21</v>
      </c>
      <c r="G611">
        <v>130</v>
      </c>
      <c r="H611">
        <v>514</v>
      </c>
      <c r="I611" t="str">
        <f>_xlfn.XLOOKUP($C611,dim_campaigns!$D$2:$D$3,dim_campaigns!$A$2:$A$3,"",0)</f>
        <v>Sankranti</v>
      </c>
      <c r="J611" s="6">
        <f t="shared" si="18"/>
        <v>2.953846153846154</v>
      </c>
      <c r="K611">
        <f t="shared" si="19"/>
        <v>394740</v>
      </c>
      <c r="L611" t="str">
        <f>VLOOKUP($B611,dim_stores!$A$1:$C$51,2,0)</f>
        <v>Chennai</v>
      </c>
    </row>
    <row r="612" spans="1:12" x14ac:dyDescent="0.3">
      <c r="A612" t="s">
        <v>646</v>
      </c>
      <c r="B612" t="s">
        <v>91</v>
      </c>
      <c r="C612" t="s">
        <v>10</v>
      </c>
      <c r="D612" t="s">
        <v>38</v>
      </c>
      <c r="E612">
        <v>1190</v>
      </c>
      <c r="F612" t="s">
        <v>21</v>
      </c>
      <c r="G612">
        <v>73</v>
      </c>
      <c r="H612">
        <v>192</v>
      </c>
      <c r="I612" t="str">
        <f>_xlfn.XLOOKUP($C612,dim_campaigns!$D$2:$D$3,dim_campaigns!$A$2:$A$3,"",0)</f>
        <v>Sankranti</v>
      </c>
      <c r="J612" s="6">
        <f t="shared" si="18"/>
        <v>1.6301369863013699</v>
      </c>
      <c r="K612">
        <f t="shared" si="19"/>
        <v>201110</v>
      </c>
      <c r="L612" t="str">
        <f>VLOOKUP($B612,dim_stores!$A$1:$C$51,2,0)</f>
        <v>Hyderabad</v>
      </c>
    </row>
    <row r="613" spans="1:12" x14ac:dyDescent="0.3">
      <c r="A613" t="s">
        <v>647</v>
      </c>
      <c r="B613" t="s">
        <v>52</v>
      </c>
      <c r="C613" t="s">
        <v>10</v>
      </c>
      <c r="D613" t="s">
        <v>20</v>
      </c>
      <c r="E613">
        <v>300</v>
      </c>
      <c r="F613" t="s">
        <v>21</v>
      </c>
      <c r="G613">
        <v>33</v>
      </c>
      <c r="H613">
        <v>83</v>
      </c>
      <c r="I613" t="str">
        <f>_xlfn.XLOOKUP($C613,dim_campaigns!$D$2:$D$3,dim_campaigns!$A$2:$A$3,"",0)</f>
        <v>Sankranti</v>
      </c>
      <c r="J613" s="6">
        <f t="shared" si="18"/>
        <v>1.5151515151515151</v>
      </c>
      <c r="K613">
        <f t="shared" si="19"/>
        <v>22350</v>
      </c>
      <c r="L613" t="str">
        <f>VLOOKUP($B613,dim_stores!$A$1:$C$51,2,0)</f>
        <v>Visakhapatnam</v>
      </c>
    </row>
    <row r="614" spans="1:12" x14ac:dyDescent="0.3">
      <c r="A614" t="s">
        <v>648</v>
      </c>
      <c r="B614" t="s">
        <v>60</v>
      </c>
      <c r="C614" t="s">
        <v>10</v>
      </c>
      <c r="D614" t="s">
        <v>16</v>
      </c>
      <c r="E614">
        <v>200</v>
      </c>
      <c r="F614" t="s">
        <v>21</v>
      </c>
      <c r="G614">
        <v>190</v>
      </c>
      <c r="H614">
        <v>741</v>
      </c>
      <c r="I614" t="str">
        <f>_xlfn.XLOOKUP($C614,dim_campaigns!$D$2:$D$3,dim_campaigns!$A$2:$A$3,"",0)</f>
        <v>Sankranti</v>
      </c>
      <c r="J614" s="6">
        <f t="shared" si="18"/>
        <v>2.9</v>
      </c>
      <c r="K614">
        <f t="shared" si="19"/>
        <v>112100</v>
      </c>
      <c r="L614" t="str">
        <f>VLOOKUP($B614,dim_stores!$A$1:$C$51,2,0)</f>
        <v>Trivandrum</v>
      </c>
    </row>
    <row r="615" spans="1:12" x14ac:dyDescent="0.3">
      <c r="A615" t="s">
        <v>649</v>
      </c>
      <c r="B615" t="s">
        <v>93</v>
      </c>
      <c r="C615" t="s">
        <v>15</v>
      </c>
      <c r="D615" t="s">
        <v>61</v>
      </c>
      <c r="E615">
        <v>172</v>
      </c>
      <c r="F615" t="s">
        <v>54</v>
      </c>
      <c r="G615">
        <v>322</v>
      </c>
      <c r="H615">
        <v>483</v>
      </c>
      <c r="I615" t="str">
        <f>_xlfn.XLOOKUP($C615,dim_campaigns!$D$2:$D$3,dim_campaigns!$A$2:$A$3,"",0)</f>
        <v>Diwali</v>
      </c>
      <c r="J615" s="6">
        <f t="shared" si="18"/>
        <v>0.5</v>
      </c>
      <c r="K615">
        <f t="shared" si="19"/>
        <v>111044.92</v>
      </c>
      <c r="L615" t="str">
        <f>VLOOKUP($B615,dim_stores!$A$1:$C$51,2,0)</f>
        <v>Bengaluru</v>
      </c>
    </row>
    <row r="616" spans="1:12" x14ac:dyDescent="0.3">
      <c r="A616" t="s">
        <v>650</v>
      </c>
      <c r="B616" t="s">
        <v>110</v>
      </c>
      <c r="C616" t="s">
        <v>15</v>
      </c>
      <c r="D616" t="s">
        <v>61</v>
      </c>
      <c r="E616">
        <v>172</v>
      </c>
      <c r="F616" t="s">
        <v>54</v>
      </c>
      <c r="G616">
        <v>330</v>
      </c>
      <c r="H616">
        <v>504</v>
      </c>
      <c r="I616" t="str">
        <f>_xlfn.XLOOKUP($C616,dim_campaigns!$D$2:$D$3,dim_campaigns!$A$2:$A$3,"",0)</f>
        <v>Diwali</v>
      </c>
      <c r="J616" s="6">
        <f t="shared" si="18"/>
        <v>0.52727272727272723</v>
      </c>
      <c r="K616">
        <f t="shared" si="19"/>
        <v>114840.95999999999</v>
      </c>
      <c r="L616" t="str">
        <f>VLOOKUP($B616,dim_stores!$A$1:$C$51,2,0)</f>
        <v>Chennai</v>
      </c>
    </row>
    <row r="617" spans="1:12" x14ac:dyDescent="0.3">
      <c r="A617" t="s">
        <v>651</v>
      </c>
      <c r="B617" t="s">
        <v>27</v>
      </c>
      <c r="C617" t="s">
        <v>15</v>
      </c>
      <c r="D617" t="s">
        <v>53</v>
      </c>
      <c r="E617">
        <v>860</v>
      </c>
      <c r="F617" t="s">
        <v>54</v>
      </c>
      <c r="G617">
        <v>367</v>
      </c>
      <c r="H617">
        <v>612</v>
      </c>
      <c r="I617" t="str">
        <f>_xlfn.XLOOKUP($C617,dim_campaigns!$D$2:$D$3,dim_campaigns!$A$2:$A$3,"",0)</f>
        <v>Diwali</v>
      </c>
      <c r="J617" s="6">
        <f t="shared" si="18"/>
        <v>0.66757493188010897</v>
      </c>
      <c r="K617">
        <f t="shared" si="19"/>
        <v>668254.4</v>
      </c>
      <c r="L617" t="str">
        <f>VLOOKUP($B617,dim_stores!$A$1:$C$51,2,0)</f>
        <v>Bengaluru</v>
      </c>
    </row>
    <row r="618" spans="1:12" x14ac:dyDescent="0.3">
      <c r="A618" t="s">
        <v>652</v>
      </c>
      <c r="B618" t="s">
        <v>190</v>
      </c>
      <c r="C618" t="s">
        <v>10</v>
      </c>
      <c r="D618" t="s">
        <v>51</v>
      </c>
      <c r="E618">
        <v>370</v>
      </c>
      <c r="F618" t="s">
        <v>21</v>
      </c>
      <c r="G618">
        <v>370</v>
      </c>
      <c r="H618">
        <v>1457</v>
      </c>
      <c r="I618" t="str">
        <f>_xlfn.XLOOKUP($C618,dim_campaigns!$D$2:$D$3,dim_campaigns!$A$2:$A$3,"",0)</f>
        <v>Sankranti</v>
      </c>
      <c r="J618" s="6">
        <f t="shared" si="18"/>
        <v>2.9378378378378378</v>
      </c>
      <c r="K618">
        <f t="shared" si="19"/>
        <v>406445</v>
      </c>
      <c r="L618" t="str">
        <f>VLOOKUP($B618,dim_stores!$A$1:$C$51,2,0)</f>
        <v>Visakhapatnam</v>
      </c>
    </row>
    <row r="619" spans="1:12" x14ac:dyDescent="0.3">
      <c r="A619" t="s">
        <v>653</v>
      </c>
      <c r="B619" t="s">
        <v>75</v>
      </c>
      <c r="C619" t="s">
        <v>15</v>
      </c>
      <c r="D619" t="s">
        <v>51</v>
      </c>
      <c r="E619">
        <v>290</v>
      </c>
      <c r="F619" t="s">
        <v>17</v>
      </c>
      <c r="G619">
        <v>197</v>
      </c>
      <c r="H619">
        <v>175</v>
      </c>
      <c r="I619" t="str">
        <f>_xlfn.XLOOKUP($C619,dim_campaigns!$D$2:$D$3,dim_campaigns!$A$2:$A$3,"",0)</f>
        <v>Diwali</v>
      </c>
      <c r="J619" s="6">
        <f t="shared" si="18"/>
        <v>-0.1116751269035533</v>
      </c>
      <c r="K619">
        <f t="shared" si="19"/>
        <v>95192.5</v>
      </c>
      <c r="L619" t="str">
        <f>VLOOKUP($B619,dim_stores!$A$1:$C$51,2,0)</f>
        <v>Madurai</v>
      </c>
    </row>
    <row r="620" spans="1:12" x14ac:dyDescent="0.3">
      <c r="A620" t="s">
        <v>654</v>
      </c>
      <c r="B620" t="s">
        <v>119</v>
      </c>
      <c r="C620" t="s">
        <v>15</v>
      </c>
      <c r="D620" t="s">
        <v>61</v>
      </c>
      <c r="E620">
        <v>172</v>
      </c>
      <c r="F620" t="s">
        <v>54</v>
      </c>
      <c r="G620">
        <v>369</v>
      </c>
      <c r="H620">
        <v>546</v>
      </c>
      <c r="I620" t="str">
        <f>_xlfn.XLOOKUP($C620,dim_campaigns!$D$2:$D$3,dim_campaigns!$A$2:$A$3,"",0)</f>
        <v>Diwali</v>
      </c>
      <c r="J620" s="6">
        <f t="shared" si="18"/>
        <v>0.47967479674796748</v>
      </c>
      <c r="K620">
        <f t="shared" si="19"/>
        <v>126389.04</v>
      </c>
      <c r="L620" t="str">
        <f>VLOOKUP($B620,dim_stores!$A$1:$C$51,2,0)</f>
        <v>Chennai</v>
      </c>
    </row>
    <row r="621" spans="1:12" x14ac:dyDescent="0.3">
      <c r="A621" t="s">
        <v>655</v>
      </c>
      <c r="B621" t="s">
        <v>139</v>
      </c>
      <c r="C621" t="s">
        <v>10</v>
      </c>
      <c r="D621" t="s">
        <v>24</v>
      </c>
      <c r="E621">
        <v>3000</v>
      </c>
      <c r="F621" t="s">
        <v>25</v>
      </c>
      <c r="G621">
        <v>109</v>
      </c>
      <c r="H621">
        <v>192</v>
      </c>
      <c r="I621" t="str">
        <f>_xlfn.XLOOKUP($C621,dim_campaigns!$D$2:$D$3,dim_campaigns!$A$2:$A$3,"",0)</f>
        <v>Sankranti</v>
      </c>
      <c r="J621" s="6">
        <f t="shared" si="18"/>
        <v>0.76146788990825687</v>
      </c>
      <c r="K621">
        <f t="shared" si="19"/>
        <v>807000</v>
      </c>
      <c r="L621" t="str">
        <f>VLOOKUP($B621,dim_stores!$A$1:$C$51,2,0)</f>
        <v>Visakhapatnam</v>
      </c>
    </row>
    <row r="622" spans="1:12" x14ac:dyDescent="0.3">
      <c r="A622" t="s">
        <v>656</v>
      </c>
      <c r="B622" t="s">
        <v>137</v>
      </c>
      <c r="C622" t="s">
        <v>10</v>
      </c>
      <c r="D622" t="s">
        <v>38</v>
      </c>
      <c r="E622">
        <v>1190</v>
      </c>
      <c r="F622" t="s">
        <v>21</v>
      </c>
      <c r="G622">
        <v>16</v>
      </c>
      <c r="H622">
        <v>63</v>
      </c>
      <c r="I622" t="str">
        <f>_xlfn.XLOOKUP($C622,dim_campaigns!$D$2:$D$3,dim_campaigns!$A$2:$A$3,"",0)</f>
        <v>Sankranti</v>
      </c>
      <c r="J622" s="6">
        <f t="shared" si="18"/>
        <v>2.9375</v>
      </c>
      <c r="K622">
        <f t="shared" si="19"/>
        <v>56525</v>
      </c>
      <c r="L622" t="str">
        <f>VLOOKUP($B622,dim_stores!$A$1:$C$51,2,0)</f>
        <v>Mangalore</v>
      </c>
    </row>
    <row r="623" spans="1:12" x14ac:dyDescent="0.3">
      <c r="A623" t="s">
        <v>657</v>
      </c>
      <c r="B623" t="s">
        <v>174</v>
      </c>
      <c r="C623" t="s">
        <v>10</v>
      </c>
      <c r="D623" t="s">
        <v>35</v>
      </c>
      <c r="E623">
        <v>350</v>
      </c>
      <c r="F623" t="s">
        <v>21</v>
      </c>
      <c r="G623">
        <v>51</v>
      </c>
      <c r="H623">
        <v>205</v>
      </c>
      <c r="I623" t="str">
        <f>_xlfn.XLOOKUP($C623,dim_campaigns!$D$2:$D$3,dim_campaigns!$A$2:$A$3,"",0)</f>
        <v>Sankranti</v>
      </c>
      <c r="J623" s="6">
        <f t="shared" si="18"/>
        <v>3.0196078431372548</v>
      </c>
      <c r="K623">
        <f t="shared" si="19"/>
        <v>53725</v>
      </c>
      <c r="L623" t="str">
        <f>VLOOKUP($B623,dim_stores!$A$1:$C$51,2,0)</f>
        <v>Trivandrum</v>
      </c>
    </row>
    <row r="624" spans="1:12" x14ac:dyDescent="0.3">
      <c r="A624" t="s">
        <v>658</v>
      </c>
      <c r="B624" t="s">
        <v>99</v>
      </c>
      <c r="C624" t="s">
        <v>15</v>
      </c>
      <c r="D624" t="s">
        <v>51</v>
      </c>
      <c r="E624">
        <v>290</v>
      </c>
      <c r="F624" t="s">
        <v>17</v>
      </c>
      <c r="G624">
        <v>246</v>
      </c>
      <c r="H624">
        <v>214</v>
      </c>
      <c r="I624" t="str">
        <f>_xlfn.XLOOKUP($C624,dim_campaigns!$D$2:$D$3,dim_campaigns!$A$2:$A$3,"",0)</f>
        <v>Diwali</v>
      </c>
      <c r="J624" s="6">
        <f t="shared" si="18"/>
        <v>-0.13008130081300814</v>
      </c>
      <c r="K624">
        <f t="shared" si="19"/>
        <v>117885</v>
      </c>
      <c r="L624" t="str">
        <f>VLOOKUP($B624,dim_stores!$A$1:$C$51,2,0)</f>
        <v>Coimbatore</v>
      </c>
    </row>
    <row r="625" spans="1:12" x14ac:dyDescent="0.3">
      <c r="A625" t="s">
        <v>659</v>
      </c>
      <c r="B625" t="s">
        <v>47</v>
      </c>
      <c r="C625" t="s">
        <v>10</v>
      </c>
      <c r="D625" t="s">
        <v>24</v>
      </c>
      <c r="E625">
        <v>3000</v>
      </c>
      <c r="F625" t="s">
        <v>25</v>
      </c>
      <c r="G625">
        <v>147</v>
      </c>
      <c r="H625">
        <v>320</v>
      </c>
      <c r="I625" t="str">
        <f>_xlfn.XLOOKUP($C625,dim_campaigns!$D$2:$D$3,dim_campaigns!$A$2:$A$3,"",0)</f>
        <v>Sankranti</v>
      </c>
      <c r="J625" s="6">
        <f t="shared" si="18"/>
        <v>1.1768707482993197</v>
      </c>
      <c r="K625">
        <f t="shared" si="19"/>
        <v>1241000</v>
      </c>
      <c r="L625" t="str">
        <f>VLOOKUP($B625,dim_stores!$A$1:$C$51,2,0)</f>
        <v>Chennai</v>
      </c>
    </row>
    <row r="626" spans="1:12" x14ac:dyDescent="0.3">
      <c r="A626" t="s">
        <v>660</v>
      </c>
      <c r="B626" t="s">
        <v>58</v>
      </c>
      <c r="C626" t="s">
        <v>10</v>
      </c>
      <c r="D626" t="s">
        <v>16</v>
      </c>
      <c r="E626">
        <v>200</v>
      </c>
      <c r="F626" t="s">
        <v>21</v>
      </c>
      <c r="G626">
        <v>432</v>
      </c>
      <c r="H626">
        <v>1736</v>
      </c>
      <c r="I626" t="str">
        <f>_xlfn.XLOOKUP($C626,dim_campaigns!$D$2:$D$3,dim_campaigns!$A$2:$A$3,"",0)</f>
        <v>Sankranti</v>
      </c>
      <c r="J626" s="6">
        <f t="shared" si="18"/>
        <v>3.0185185185185186</v>
      </c>
      <c r="K626">
        <f t="shared" si="19"/>
        <v>260000</v>
      </c>
      <c r="L626" t="str">
        <f>VLOOKUP($B626,dim_stores!$A$1:$C$51,2,0)</f>
        <v>Chennai</v>
      </c>
    </row>
    <row r="627" spans="1:12" x14ac:dyDescent="0.3">
      <c r="A627" t="s">
        <v>661</v>
      </c>
      <c r="B627" t="s">
        <v>212</v>
      </c>
      <c r="C627" t="s">
        <v>10</v>
      </c>
      <c r="D627" t="s">
        <v>24</v>
      </c>
      <c r="E627">
        <v>3000</v>
      </c>
      <c r="F627" t="s">
        <v>25</v>
      </c>
      <c r="G627">
        <v>120</v>
      </c>
      <c r="H627">
        <v>345</v>
      </c>
      <c r="I627" t="str">
        <f>_xlfn.XLOOKUP($C627,dim_campaigns!$D$2:$D$3,dim_campaigns!$A$2:$A$3,"",0)</f>
        <v>Sankranti</v>
      </c>
      <c r="J627" s="6">
        <f t="shared" si="18"/>
        <v>1.875</v>
      </c>
      <c r="K627">
        <f t="shared" si="19"/>
        <v>1222500</v>
      </c>
      <c r="L627" t="str">
        <f>VLOOKUP($B627,dim_stores!$A$1:$C$51,2,0)</f>
        <v>Bengaluru</v>
      </c>
    </row>
    <row r="628" spans="1:12" x14ac:dyDescent="0.3">
      <c r="A628" t="s">
        <v>662</v>
      </c>
      <c r="B628" t="s">
        <v>70</v>
      </c>
      <c r="C628" t="s">
        <v>15</v>
      </c>
      <c r="D628" t="s">
        <v>24</v>
      </c>
      <c r="E628">
        <v>3000</v>
      </c>
      <c r="F628" t="s">
        <v>25</v>
      </c>
      <c r="G628">
        <v>448</v>
      </c>
      <c r="H628">
        <v>1545</v>
      </c>
      <c r="I628" t="str">
        <f>_xlfn.XLOOKUP($C628,dim_campaigns!$D$2:$D$3,dim_campaigns!$A$2:$A$3,"",0)</f>
        <v>Diwali</v>
      </c>
      <c r="J628" s="6">
        <f t="shared" si="18"/>
        <v>2.4486607142857144</v>
      </c>
      <c r="K628">
        <f t="shared" si="19"/>
        <v>5206500</v>
      </c>
      <c r="L628" t="str">
        <f>VLOOKUP($B628,dim_stores!$A$1:$C$51,2,0)</f>
        <v>Chennai</v>
      </c>
    </row>
    <row r="629" spans="1:12" x14ac:dyDescent="0.3">
      <c r="A629">
        <v>86206</v>
      </c>
      <c r="B629" t="s">
        <v>103</v>
      </c>
      <c r="C629" t="s">
        <v>10</v>
      </c>
      <c r="D629" t="s">
        <v>68</v>
      </c>
      <c r="E629">
        <v>1020</v>
      </c>
      <c r="F629" t="s">
        <v>21</v>
      </c>
      <c r="G629">
        <v>102</v>
      </c>
      <c r="H629">
        <v>279</v>
      </c>
      <c r="I629" t="str">
        <f>_xlfn.XLOOKUP($C629,dim_campaigns!$D$2:$D$3,dim_campaigns!$A$2:$A$3,"",0)</f>
        <v>Sankranti</v>
      </c>
      <c r="J629" s="6">
        <f t="shared" si="18"/>
        <v>1.7352941176470589</v>
      </c>
      <c r="K629">
        <f t="shared" si="19"/>
        <v>246330</v>
      </c>
      <c r="L629" t="str">
        <f>VLOOKUP($B629,dim_stores!$A$1:$C$51,2,0)</f>
        <v>Hyderabad</v>
      </c>
    </row>
    <row r="630" spans="1:12" x14ac:dyDescent="0.3">
      <c r="A630">
        <v>457639</v>
      </c>
      <c r="B630" t="s">
        <v>70</v>
      </c>
      <c r="C630" t="s">
        <v>10</v>
      </c>
      <c r="D630" t="s">
        <v>38</v>
      </c>
      <c r="E630">
        <v>1190</v>
      </c>
      <c r="F630" t="s">
        <v>21</v>
      </c>
      <c r="G630">
        <v>54</v>
      </c>
      <c r="H630">
        <v>222</v>
      </c>
      <c r="I630" t="str">
        <f>_xlfn.XLOOKUP($C630,dim_campaigns!$D$2:$D$3,dim_campaigns!$A$2:$A$3,"",0)</f>
        <v>Sankranti</v>
      </c>
      <c r="J630" s="6">
        <f t="shared" si="18"/>
        <v>3.1111111111111112</v>
      </c>
      <c r="K630">
        <f t="shared" si="19"/>
        <v>196350</v>
      </c>
      <c r="L630" t="str">
        <f>VLOOKUP($B630,dim_stores!$A$1:$C$51,2,0)</f>
        <v>Chennai</v>
      </c>
    </row>
    <row r="631" spans="1:12" x14ac:dyDescent="0.3">
      <c r="A631" t="s">
        <v>663</v>
      </c>
      <c r="B631" t="s">
        <v>89</v>
      </c>
      <c r="C631" t="s">
        <v>10</v>
      </c>
      <c r="D631" t="s">
        <v>32</v>
      </c>
      <c r="E631">
        <v>50</v>
      </c>
      <c r="F631" t="s">
        <v>17</v>
      </c>
      <c r="G631">
        <v>18</v>
      </c>
      <c r="H631">
        <v>13</v>
      </c>
      <c r="I631" t="str">
        <f>_xlfn.XLOOKUP($C631,dim_campaigns!$D$2:$D$3,dim_campaigns!$A$2:$A$3,"",0)</f>
        <v>Sankranti</v>
      </c>
      <c r="J631" s="6">
        <f t="shared" si="18"/>
        <v>-0.27777777777777779</v>
      </c>
      <c r="K631">
        <f t="shared" si="19"/>
        <v>1387.5</v>
      </c>
      <c r="L631" t="str">
        <f>VLOOKUP($B631,dim_stores!$A$1:$C$51,2,0)</f>
        <v>Vijayawada</v>
      </c>
    </row>
    <row r="632" spans="1:12" x14ac:dyDescent="0.3">
      <c r="A632" t="s">
        <v>664</v>
      </c>
      <c r="B632" t="s">
        <v>110</v>
      </c>
      <c r="C632" t="s">
        <v>10</v>
      </c>
      <c r="D632" t="s">
        <v>28</v>
      </c>
      <c r="E632">
        <v>55</v>
      </c>
      <c r="F632" t="s">
        <v>17</v>
      </c>
      <c r="G632">
        <v>25</v>
      </c>
      <c r="H632">
        <v>21</v>
      </c>
      <c r="I632" t="str">
        <f>_xlfn.XLOOKUP($C632,dim_campaigns!$D$2:$D$3,dim_campaigns!$A$2:$A$3,"",0)</f>
        <v>Sankranti</v>
      </c>
      <c r="J632" s="6">
        <f t="shared" si="18"/>
        <v>-0.16</v>
      </c>
      <c r="K632">
        <f t="shared" si="19"/>
        <v>2241.25</v>
      </c>
      <c r="L632" t="str">
        <f>VLOOKUP($B632,dim_stores!$A$1:$C$51,2,0)</f>
        <v>Chennai</v>
      </c>
    </row>
    <row r="633" spans="1:12" x14ac:dyDescent="0.3">
      <c r="A633" t="s">
        <v>665</v>
      </c>
      <c r="B633" t="s">
        <v>23</v>
      </c>
      <c r="C633" t="s">
        <v>10</v>
      </c>
      <c r="D633" t="s">
        <v>35</v>
      </c>
      <c r="E633">
        <v>350</v>
      </c>
      <c r="F633" t="s">
        <v>21</v>
      </c>
      <c r="G633">
        <v>87</v>
      </c>
      <c r="H633">
        <v>346</v>
      </c>
      <c r="I633" t="str">
        <f>_xlfn.XLOOKUP($C633,dim_campaigns!$D$2:$D$3,dim_campaigns!$A$2:$A$3,"",0)</f>
        <v>Sankranti</v>
      </c>
      <c r="J633" s="6">
        <f t="shared" si="18"/>
        <v>2.9770114942528734</v>
      </c>
      <c r="K633">
        <f t="shared" si="19"/>
        <v>91000</v>
      </c>
      <c r="L633" t="str">
        <f>VLOOKUP($B633,dim_stores!$A$1:$C$51,2,0)</f>
        <v>Coimbatore</v>
      </c>
    </row>
    <row r="634" spans="1:12" x14ac:dyDescent="0.3">
      <c r="A634" t="s">
        <v>666</v>
      </c>
      <c r="B634" t="s">
        <v>91</v>
      </c>
      <c r="C634" t="s">
        <v>15</v>
      </c>
      <c r="D634" t="s">
        <v>35</v>
      </c>
      <c r="E634">
        <v>350</v>
      </c>
      <c r="F634" t="s">
        <v>21</v>
      </c>
      <c r="G634">
        <v>82</v>
      </c>
      <c r="H634">
        <v>239</v>
      </c>
      <c r="I634" t="str">
        <f>_xlfn.XLOOKUP($C634,dim_campaigns!$D$2:$D$3,dim_campaigns!$A$2:$A$3,"",0)</f>
        <v>Diwali</v>
      </c>
      <c r="J634" s="6">
        <f t="shared" si="18"/>
        <v>1.9146341463414633</v>
      </c>
      <c r="K634">
        <f t="shared" si="19"/>
        <v>70525</v>
      </c>
      <c r="L634" t="str">
        <f>VLOOKUP($B634,dim_stores!$A$1:$C$51,2,0)</f>
        <v>Hyderabad</v>
      </c>
    </row>
    <row r="635" spans="1:12" x14ac:dyDescent="0.3">
      <c r="A635" t="s">
        <v>667</v>
      </c>
      <c r="B635" t="s">
        <v>107</v>
      </c>
      <c r="C635" t="s">
        <v>10</v>
      </c>
      <c r="D635" t="s">
        <v>85</v>
      </c>
      <c r="E635">
        <v>90</v>
      </c>
      <c r="F635" t="s">
        <v>17</v>
      </c>
      <c r="G635">
        <v>49</v>
      </c>
      <c r="H635">
        <v>46</v>
      </c>
      <c r="I635" t="str">
        <f>_xlfn.XLOOKUP($C635,dim_campaigns!$D$2:$D$3,dim_campaigns!$A$2:$A$3,"",0)</f>
        <v>Sankranti</v>
      </c>
      <c r="J635" s="6">
        <f t="shared" si="18"/>
        <v>-6.1224489795918366E-2</v>
      </c>
      <c r="K635">
        <f t="shared" si="19"/>
        <v>7515</v>
      </c>
      <c r="L635" t="str">
        <f>VLOOKUP($B635,dim_stores!$A$1:$C$51,2,0)</f>
        <v>Coimbatore</v>
      </c>
    </row>
    <row r="636" spans="1:12" x14ac:dyDescent="0.3">
      <c r="A636" t="s">
        <v>668</v>
      </c>
      <c r="B636" t="s">
        <v>27</v>
      </c>
      <c r="C636" t="s">
        <v>10</v>
      </c>
      <c r="D636" t="s">
        <v>53</v>
      </c>
      <c r="E636">
        <v>860</v>
      </c>
      <c r="F636" t="s">
        <v>54</v>
      </c>
      <c r="G636">
        <v>532</v>
      </c>
      <c r="H636">
        <v>813</v>
      </c>
      <c r="I636" t="str">
        <f>_xlfn.XLOOKUP($C636,dim_campaigns!$D$2:$D$3,dim_campaigns!$A$2:$A$3,"",0)</f>
        <v>Sankranti</v>
      </c>
      <c r="J636" s="6">
        <f t="shared" si="18"/>
        <v>0.52819548872180455</v>
      </c>
      <c r="K636">
        <f t="shared" si="19"/>
        <v>925970.60000000009</v>
      </c>
      <c r="L636" t="str">
        <f>VLOOKUP($B636,dim_stores!$A$1:$C$51,2,0)</f>
        <v>Bengaluru</v>
      </c>
    </row>
    <row r="637" spans="1:12" x14ac:dyDescent="0.3">
      <c r="A637" t="s">
        <v>669</v>
      </c>
      <c r="B637" t="s">
        <v>103</v>
      </c>
      <c r="C637" t="s">
        <v>10</v>
      </c>
      <c r="D637" t="s">
        <v>32</v>
      </c>
      <c r="E637">
        <v>50</v>
      </c>
      <c r="F637" t="s">
        <v>17</v>
      </c>
      <c r="G637">
        <v>36</v>
      </c>
      <c r="H637">
        <v>29</v>
      </c>
      <c r="I637" t="str">
        <f>_xlfn.XLOOKUP($C637,dim_campaigns!$D$2:$D$3,dim_campaigns!$A$2:$A$3,"",0)</f>
        <v>Sankranti</v>
      </c>
      <c r="J637" s="6">
        <f t="shared" si="18"/>
        <v>-0.19444444444444445</v>
      </c>
      <c r="K637">
        <f t="shared" si="19"/>
        <v>2887.5</v>
      </c>
      <c r="L637" t="str">
        <f>VLOOKUP($B637,dim_stores!$A$1:$C$51,2,0)</f>
        <v>Hyderabad</v>
      </c>
    </row>
    <row r="638" spans="1:12" x14ac:dyDescent="0.3">
      <c r="A638">
        <v>420258</v>
      </c>
      <c r="B638" t="s">
        <v>139</v>
      </c>
      <c r="C638" t="s">
        <v>10</v>
      </c>
      <c r="D638" t="s">
        <v>68</v>
      </c>
      <c r="E638">
        <v>1020</v>
      </c>
      <c r="F638" t="s">
        <v>21</v>
      </c>
      <c r="G638">
        <v>54</v>
      </c>
      <c r="H638">
        <v>137</v>
      </c>
      <c r="I638" t="str">
        <f>_xlfn.XLOOKUP($C638,dim_campaigns!$D$2:$D$3,dim_campaigns!$A$2:$A$3,"",0)</f>
        <v>Sankranti</v>
      </c>
      <c r="J638" s="6">
        <f t="shared" si="18"/>
        <v>1.537037037037037</v>
      </c>
      <c r="K638">
        <f t="shared" si="19"/>
        <v>124950</v>
      </c>
      <c r="L638" t="str">
        <f>VLOOKUP($B638,dim_stores!$A$1:$C$51,2,0)</f>
        <v>Visakhapatnam</v>
      </c>
    </row>
    <row r="639" spans="1:12" x14ac:dyDescent="0.3">
      <c r="A639" t="s">
        <v>670</v>
      </c>
      <c r="B639" t="s">
        <v>9</v>
      </c>
      <c r="C639" t="s">
        <v>10</v>
      </c>
      <c r="D639" t="s">
        <v>28</v>
      </c>
      <c r="E639">
        <v>55</v>
      </c>
      <c r="F639" t="s">
        <v>17</v>
      </c>
      <c r="G639">
        <v>18</v>
      </c>
      <c r="H639">
        <v>15</v>
      </c>
      <c r="I639" t="str">
        <f>_xlfn.XLOOKUP($C639,dim_campaigns!$D$2:$D$3,dim_campaigns!$A$2:$A$3,"",0)</f>
        <v>Sankranti</v>
      </c>
      <c r="J639" s="6">
        <f t="shared" si="18"/>
        <v>-0.16666666666666666</v>
      </c>
      <c r="K639">
        <f t="shared" si="19"/>
        <v>1608.75</v>
      </c>
      <c r="L639" t="str">
        <f>VLOOKUP($B639,dim_stores!$A$1:$C$51,2,0)</f>
        <v>Coimbatore</v>
      </c>
    </row>
    <row r="640" spans="1:12" x14ac:dyDescent="0.3">
      <c r="A640" t="s">
        <v>671</v>
      </c>
      <c r="B640" t="s">
        <v>84</v>
      </c>
      <c r="C640" t="s">
        <v>15</v>
      </c>
      <c r="D640" t="s">
        <v>68</v>
      </c>
      <c r="E640">
        <v>1020</v>
      </c>
      <c r="F640" t="s">
        <v>21</v>
      </c>
      <c r="G640">
        <v>36</v>
      </c>
      <c r="H640">
        <v>145</v>
      </c>
      <c r="I640" t="str">
        <f>_xlfn.XLOOKUP($C640,dim_campaigns!$D$2:$D$3,dim_campaigns!$A$2:$A$3,"",0)</f>
        <v>Diwali</v>
      </c>
      <c r="J640" s="6">
        <f t="shared" si="18"/>
        <v>3.0277777777777777</v>
      </c>
      <c r="K640">
        <f t="shared" si="19"/>
        <v>110670</v>
      </c>
      <c r="L640" t="str">
        <f>VLOOKUP($B640,dim_stores!$A$1:$C$51,2,0)</f>
        <v>Mysuru</v>
      </c>
    </row>
    <row r="641" spans="1:12" x14ac:dyDescent="0.3">
      <c r="A641" t="s">
        <v>672</v>
      </c>
      <c r="B641" t="s">
        <v>190</v>
      </c>
      <c r="C641" t="s">
        <v>10</v>
      </c>
      <c r="D641" t="s">
        <v>16</v>
      </c>
      <c r="E641">
        <v>200</v>
      </c>
      <c r="F641" t="s">
        <v>21</v>
      </c>
      <c r="G641">
        <v>261</v>
      </c>
      <c r="H641">
        <v>1041</v>
      </c>
      <c r="I641" t="str">
        <f>_xlfn.XLOOKUP($C641,dim_campaigns!$D$2:$D$3,dim_campaigns!$A$2:$A$3,"",0)</f>
        <v>Sankranti</v>
      </c>
      <c r="J641" s="6">
        <f t="shared" si="18"/>
        <v>2.9885057471264367</v>
      </c>
      <c r="K641">
        <f t="shared" si="19"/>
        <v>156300</v>
      </c>
      <c r="L641" t="str">
        <f>VLOOKUP($B641,dim_stores!$A$1:$C$51,2,0)</f>
        <v>Visakhapatnam</v>
      </c>
    </row>
    <row r="642" spans="1:12" x14ac:dyDescent="0.3">
      <c r="A642" t="s">
        <v>673</v>
      </c>
      <c r="B642" t="s">
        <v>93</v>
      </c>
      <c r="C642" t="s">
        <v>10</v>
      </c>
      <c r="D642" t="s">
        <v>48</v>
      </c>
      <c r="E642">
        <v>62</v>
      </c>
      <c r="F642" t="s">
        <v>12</v>
      </c>
      <c r="G642">
        <v>55</v>
      </c>
      <c r="H642">
        <v>77</v>
      </c>
      <c r="I642" t="str">
        <f>_xlfn.XLOOKUP($C642,dim_campaigns!$D$2:$D$3,dim_campaigns!$A$2:$A$3,"",0)</f>
        <v>Sankranti</v>
      </c>
      <c r="J642" s="6">
        <f t="shared" si="18"/>
        <v>0.4</v>
      </c>
      <c r="K642">
        <f t="shared" si="19"/>
        <v>5797</v>
      </c>
      <c r="L642" t="str">
        <f>VLOOKUP($B642,dim_stores!$A$1:$C$51,2,0)</f>
        <v>Bengaluru</v>
      </c>
    </row>
    <row r="643" spans="1:12" x14ac:dyDescent="0.3">
      <c r="A643" t="s">
        <v>674</v>
      </c>
      <c r="B643" t="s">
        <v>27</v>
      </c>
      <c r="C643" t="s">
        <v>15</v>
      </c>
      <c r="D643" t="s">
        <v>85</v>
      </c>
      <c r="E643">
        <v>110</v>
      </c>
      <c r="F643" t="s">
        <v>12</v>
      </c>
      <c r="G643">
        <v>84</v>
      </c>
      <c r="H643">
        <v>131</v>
      </c>
      <c r="I643" t="str">
        <f>_xlfn.XLOOKUP($C643,dim_campaigns!$D$2:$D$3,dim_campaigns!$A$2:$A$3,"",0)</f>
        <v>Diwali</v>
      </c>
      <c r="J643" s="6">
        <f t="shared" ref="J643:J706" si="20">IFERROR((H643-G643)/G643,0)</f>
        <v>0.55952380952380953</v>
      </c>
      <c r="K643">
        <f t="shared" ref="K643:K706" si="21">E643*G643+(E643-IF(F643="500 Cashback",500,IF(F643="BOGOF",E643*50%,IF(F643="25% OFF",E643*25%,IF(F643="33% OFF",E643*33%,IF(F643="50% OFF",E643*50%,0))))))*H643</f>
        <v>16445</v>
      </c>
      <c r="L643" t="str">
        <f>VLOOKUP($B643,dim_stores!$A$1:$C$51,2,0)</f>
        <v>Bengaluru</v>
      </c>
    </row>
    <row r="644" spans="1:12" x14ac:dyDescent="0.3">
      <c r="A644" t="s">
        <v>675</v>
      </c>
      <c r="B644" t="s">
        <v>84</v>
      </c>
      <c r="C644" t="s">
        <v>10</v>
      </c>
      <c r="D644" t="s">
        <v>24</v>
      </c>
      <c r="E644">
        <v>3000</v>
      </c>
      <c r="F644" t="s">
        <v>25</v>
      </c>
      <c r="G644">
        <v>133</v>
      </c>
      <c r="H644">
        <v>383</v>
      </c>
      <c r="I644" t="str">
        <f>_xlfn.XLOOKUP($C644,dim_campaigns!$D$2:$D$3,dim_campaigns!$A$2:$A$3,"",0)</f>
        <v>Sankranti</v>
      </c>
      <c r="J644" s="6">
        <f t="shared" si="20"/>
        <v>1.8796992481203008</v>
      </c>
      <c r="K644">
        <f t="shared" si="21"/>
        <v>1356500</v>
      </c>
      <c r="L644" t="str">
        <f>VLOOKUP($B644,dim_stores!$A$1:$C$51,2,0)</f>
        <v>Mysuru</v>
      </c>
    </row>
    <row r="645" spans="1:12" x14ac:dyDescent="0.3">
      <c r="A645" t="s">
        <v>676</v>
      </c>
      <c r="B645" t="s">
        <v>93</v>
      </c>
      <c r="C645" t="s">
        <v>10</v>
      </c>
      <c r="D645" t="s">
        <v>51</v>
      </c>
      <c r="E645">
        <v>370</v>
      </c>
      <c r="F645" t="s">
        <v>21</v>
      </c>
      <c r="G645">
        <v>454</v>
      </c>
      <c r="H645">
        <v>1756</v>
      </c>
      <c r="I645" t="str">
        <f>_xlfn.XLOOKUP($C645,dim_campaigns!$D$2:$D$3,dim_campaigns!$A$2:$A$3,"",0)</f>
        <v>Sankranti</v>
      </c>
      <c r="J645" s="6">
        <f t="shared" si="20"/>
        <v>2.8678414096916298</v>
      </c>
      <c r="K645">
        <f t="shared" si="21"/>
        <v>492840</v>
      </c>
      <c r="L645" t="str">
        <f>VLOOKUP($B645,dim_stores!$A$1:$C$51,2,0)</f>
        <v>Bengaluru</v>
      </c>
    </row>
    <row r="646" spans="1:12" x14ac:dyDescent="0.3">
      <c r="A646" t="s">
        <v>677</v>
      </c>
      <c r="B646" t="s">
        <v>70</v>
      </c>
      <c r="C646" t="s">
        <v>15</v>
      </c>
      <c r="D646" t="s">
        <v>53</v>
      </c>
      <c r="E646">
        <v>860</v>
      </c>
      <c r="F646" t="s">
        <v>54</v>
      </c>
      <c r="G646">
        <v>400</v>
      </c>
      <c r="H646">
        <v>580</v>
      </c>
      <c r="I646" t="str">
        <f>_xlfn.XLOOKUP($C646,dim_campaigns!$D$2:$D$3,dim_campaigns!$A$2:$A$3,"",0)</f>
        <v>Diwali</v>
      </c>
      <c r="J646" s="6">
        <f t="shared" si="20"/>
        <v>0.45</v>
      </c>
      <c r="K646">
        <f t="shared" si="21"/>
        <v>678196</v>
      </c>
      <c r="L646" t="str">
        <f>VLOOKUP($B646,dim_stores!$A$1:$C$51,2,0)</f>
        <v>Chennai</v>
      </c>
    </row>
    <row r="647" spans="1:12" x14ac:dyDescent="0.3">
      <c r="A647" t="s">
        <v>678</v>
      </c>
      <c r="B647" t="s">
        <v>75</v>
      </c>
      <c r="C647" t="s">
        <v>10</v>
      </c>
      <c r="D647" t="s">
        <v>20</v>
      </c>
      <c r="E647">
        <v>300</v>
      </c>
      <c r="F647" t="s">
        <v>21</v>
      </c>
      <c r="G647">
        <v>22</v>
      </c>
      <c r="H647">
        <v>88</v>
      </c>
      <c r="I647" t="str">
        <f>_xlfn.XLOOKUP($C647,dim_campaigns!$D$2:$D$3,dim_campaigns!$A$2:$A$3,"",0)</f>
        <v>Sankranti</v>
      </c>
      <c r="J647" s="6">
        <f t="shared" si="20"/>
        <v>3</v>
      </c>
      <c r="K647">
        <f t="shared" si="21"/>
        <v>19800</v>
      </c>
      <c r="L647" t="str">
        <f>VLOOKUP($B647,dim_stores!$A$1:$C$51,2,0)</f>
        <v>Madurai</v>
      </c>
    </row>
    <row r="648" spans="1:12" x14ac:dyDescent="0.3">
      <c r="A648">
        <v>417902</v>
      </c>
      <c r="B648" t="s">
        <v>81</v>
      </c>
      <c r="C648" t="s">
        <v>15</v>
      </c>
      <c r="D648" t="s">
        <v>38</v>
      </c>
      <c r="E648">
        <v>1190</v>
      </c>
      <c r="F648" t="s">
        <v>21</v>
      </c>
      <c r="G648">
        <v>29</v>
      </c>
      <c r="H648">
        <v>116</v>
      </c>
      <c r="I648" t="str">
        <f>_xlfn.XLOOKUP($C648,dim_campaigns!$D$2:$D$3,dim_campaigns!$A$2:$A$3,"",0)</f>
        <v>Diwali</v>
      </c>
      <c r="J648" s="6">
        <f t="shared" si="20"/>
        <v>3</v>
      </c>
      <c r="K648">
        <f t="shared" si="21"/>
        <v>103530</v>
      </c>
      <c r="L648" t="str">
        <f>VLOOKUP($B648,dim_stores!$A$1:$C$51,2,0)</f>
        <v>Madurai</v>
      </c>
    </row>
    <row r="649" spans="1:12" x14ac:dyDescent="0.3">
      <c r="A649" t="s">
        <v>679</v>
      </c>
      <c r="B649" t="s">
        <v>93</v>
      </c>
      <c r="C649" t="s">
        <v>10</v>
      </c>
      <c r="D649" t="s">
        <v>85</v>
      </c>
      <c r="E649">
        <v>90</v>
      </c>
      <c r="F649" t="s">
        <v>17</v>
      </c>
      <c r="G649">
        <v>67</v>
      </c>
      <c r="H649">
        <v>56</v>
      </c>
      <c r="I649" t="str">
        <f>_xlfn.XLOOKUP($C649,dim_campaigns!$D$2:$D$3,dim_campaigns!$A$2:$A$3,"",0)</f>
        <v>Sankranti</v>
      </c>
      <c r="J649" s="6">
        <f t="shared" si="20"/>
        <v>-0.16417910447761194</v>
      </c>
      <c r="K649">
        <f t="shared" si="21"/>
        <v>9810</v>
      </c>
      <c r="L649" t="str">
        <f>VLOOKUP($B649,dim_stores!$A$1:$C$51,2,0)</f>
        <v>Bengaluru</v>
      </c>
    </row>
    <row r="650" spans="1:12" x14ac:dyDescent="0.3">
      <c r="A650" t="s">
        <v>680</v>
      </c>
      <c r="B650" t="s">
        <v>29</v>
      </c>
      <c r="C650" t="s">
        <v>10</v>
      </c>
      <c r="D650" t="s">
        <v>20</v>
      </c>
      <c r="E650">
        <v>300</v>
      </c>
      <c r="F650" t="s">
        <v>21</v>
      </c>
      <c r="G650">
        <v>48</v>
      </c>
      <c r="H650">
        <v>185</v>
      </c>
      <c r="I650" t="str">
        <f>_xlfn.XLOOKUP($C650,dim_campaigns!$D$2:$D$3,dim_campaigns!$A$2:$A$3,"",0)</f>
        <v>Sankranti</v>
      </c>
      <c r="J650" s="6">
        <f t="shared" si="20"/>
        <v>2.8541666666666665</v>
      </c>
      <c r="K650">
        <f t="shared" si="21"/>
        <v>42150</v>
      </c>
      <c r="L650" t="str">
        <f>VLOOKUP($B650,dim_stores!$A$1:$C$51,2,0)</f>
        <v>Bengaluru</v>
      </c>
    </row>
    <row r="651" spans="1:12" x14ac:dyDescent="0.3">
      <c r="A651" t="s">
        <v>681</v>
      </c>
      <c r="B651" t="s">
        <v>113</v>
      </c>
      <c r="C651" t="s">
        <v>15</v>
      </c>
      <c r="D651" t="s">
        <v>38</v>
      </c>
      <c r="E651">
        <v>1190</v>
      </c>
      <c r="F651" t="s">
        <v>21</v>
      </c>
      <c r="G651">
        <v>45</v>
      </c>
      <c r="H651">
        <v>137</v>
      </c>
      <c r="I651" t="str">
        <f>_xlfn.XLOOKUP($C651,dim_campaigns!$D$2:$D$3,dim_campaigns!$A$2:$A$3,"",0)</f>
        <v>Diwali</v>
      </c>
      <c r="J651" s="6">
        <f t="shared" si="20"/>
        <v>2.0444444444444443</v>
      </c>
      <c r="K651">
        <f t="shared" si="21"/>
        <v>135065</v>
      </c>
      <c r="L651" t="str">
        <f>VLOOKUP($B651,dim_stores!$A$1:$C$51,2,0)</f>
        <v>Chennai</v>
      </c>
    </row>
    <row r="652" spans="1:12" x14ac:dyDescent="0.3">
      <c r="A652" t="s">
        <v>682</v>
      </c>
      <c r="B652" t="s">
        <v>93</v>
      </c>
      <c r="C652" t="s">
        <v>15</v>
      </c>
      <c r="D652" t="s">
        <v>38</v>
      </c>
      <c r="E652">
        <v>1190</v>
      </c>
      <c r="F652" t="s">
        <v>21</v>
      </c>
      <c r="G652">
        <v>47</v>
      </c>
      <c r="H652">
        <v>159</v>
      </c>
      <c r="I652" t="str">
        <f>_xlfn.XLOOKUP($C652,dim_campaigns!$D$2:$D$3,dim_campaigns!$A$2:$A$3,"",0)</f>
        <v>Diwali</v>
      </c>
      <c r="J652" s="6">
        <f t="shared" si="20"/>
        <v>2.3829787234042552</v>
      </c>
      <c r="K652">
        <f t="shared" si="21"/>
        <v>150535</v>
      </c>
      <c r="L652" t="str">
        <f>VLOOKUP($B652,dim_stores!$A$1:$C$51,2,0)</f>
        <v>Bengaluru</v>
      </c>
    </row>
    <row r="653" spans="1:12" x14ac:dyDescent="0.3">
      <c r="A653" t="s">
        <v>683</v>
      </c>
      <c r="B653" t="s">
        <v>37</v>
      </c>
      <c r="C653" t="s">
        <v>10</v>
      </c>
      <c r="D653" t="s">
        <v>24</v>
      </c>
      <c r="E653">
        <v>3000</v>
      </c>
      <c r="F653" t="s">
        <v>25</v>
      </c>
      <c r="G653">
        <v>90</v>
      </c>
      <c r="H653">
        <v>146</v>
      </c>
      <c r="I653" t="str">
        <f>_xlfn.XLOOKUP($C653,dim_campaigns!$D$2:$D$3,dim_campaigns!$A$2:$A$3,"",0)</f>
        <v>Sankranti</v>
      </c>
      <c r="J653" s="6">
        <f t="shared" si="20"/>
        <v>0.62222222222222223</v>
      </c>
      <c r="K653">
        <f t="shared" si="21"/>
        <v>635000</v>
      </c>
      <c r="L653" t="str">
        <f>VLOOKUP($B653,dim_stores!$A$1:$C$51,2,0)</f>
        <v>Coimbatore</v>
      </c>
    </row>
    <row r="654" spans="1:12" x14ac:dyDescent="0.3">
      <c r="A654">
        <v>367337</v>
      </c>
      <c r="B654" t="s">
        <v>47</v>
      </c>
      <c r="C654" t="s">
        <v>10</v>
      </c>
      <c r="D654" t="s">
        <v>85</v>
      </c>
      <c r="E654">
        <v>90</v>
      </c>
      <c r="F654" t="s">
        <v>17</v>
      </c>
      <c r="G654">
        <v>81</v>
      </c>
      <c r="H654">
        <v>60</v>
      </c>
      <c r="I654" t="str">
        <f>_xlfn.XLOOKUP($C654,dim_campaigns!$D$2:$D$3,dim_campaigns!$A$2:$A$3,"",0)</f>
        <v>Sankranti</v>
      </c>
      <c r="J654" s="6">
        <f t="shared" si="20"/>
        <v>-0.25925925925925924</v>
      </c>
      <c r="K654">
        <f t="shared" si="21"/>
        <v>11340</v>
      </c>
      <c r="L654" t="str">
        <f>VLOOKUP($B654,dim_stores!$A$1:$C$51,2,0)</f>
        <v>Chennai</v>
      </c>
    </row>
    <row r="655" spans="1:12" x14ac:dyDescent="0.3">
      <c r="A655" t="s">
        <v>684</v>
      </c>
      <c r="B655" t="s">
        <v>119</v>
      </c>
      <c r="C655" t="s">
        <v>10</v>
      </c>
      <c r="D655" t="s">
        <v>28</v>
      </c>
      <c r="E655">
        <v>55</v>
      </c>
      <c r="F655" t="s">
        <v>17</v>
      </c>
      <c r="G655">
        <v>24</v>
      </c>
      <c r="H655">
        <v>19</v>
      </c>
      <c r="I655" t="str">
        <f>_xlfn.XLOOKUP($C655,dim_campaigns!$D$2:$D$3,dim_campaigns!$A$2:$A$3,"",0)</f>
        <v>Sankranti</v>
      </c>
      <c r="J655" s="6">
        <f t="shared" si="20"/>
        <v>-0.20833333333333334</v>
      </c>
      <c r="K655">
        <f t="shared" si="21"/>
        <v>2103.75</v>
      </c>
      <c r="L655" t="str">
        <f>VLOOKUP($B655,dim_stores!$A$1:$C$51,2,0)</f>
        <v>Chennai</v>
      </c>
    </row>
    <row r="656" spans="1:12" x14ac:dyDescent="0.3">
      <c r="A656" t="s">
        <v>685</v>
      </c>
      <c r="B656" t="s">
        <v>139</v>
      </c>
      <c r="C656" t="s">
        <v>10</v>
      </c>
      <c r="D656" t="s">
        <v>11</v>
      </c>
      <c r="E656">
        <v>190</v>
      </c>
      <c r="F656" t="s">
        <v>12</v>
      </c>
      <c r="G656">
        <v>34</v>
      </c>
      <c r="H656">
        <v>39</v>
      </c>
      <c r="I656" t="str">
        <f>_xlfn.XLOOKUP($C656,dim_campaigns!$D$2:$D$3,dim_campaigns!$A$2:$A$3,"",0)</f>
        <v>Sankranti</v>
      </c>
      <c r="J656" s="6">
        <f t="shared" si="20"/>
        <v>0.14705882352941177</v>
      </c>
      <c r="K656">
        <f t="shared" si="21"/>
        <v>10165</v>
      </c>
      <c r="L656" t="str">
        <f>VLOOKUP($B656,dim_stores!$A$1:$C$51,2,0)</f>
        <v>Visakhapatnam</v>
      </c>
    </row>
    <row r="657" spans="1:12" x14ac:dyDescent="0.3">
      <c r="A657" t="s">
        <v>686</v>
      </c>
      <c r="B657" t="s">
        <v>190</v>
      </c>
      <c r="C657" t="s">
        <v>15</v>
      </c>
      <c r="D657" t="s">
        <v>48</v>
      </c>
      <c r="E657">
        <v>62</v>
      </c>
      <c r="F657" t="s">
        <v>12</v>
      </c>
      <c r="G657">
        <v>78</v>
      </c>
      <c r="H657">
        <v>121</v>
      </c>
      <c r="I657" t="str">
        <f>_xlfn.XLOOKUP($C657,dim_campaigns!$D$2:$D$3,dim_campaigns!$A$2:$A$3,"",0)</f>
        <v>Diwali</v>
      </c>
      <c r="J657" s="6">
        <f t="shared" si="20"/>
        <v>0.55128205128205132</v>
      </c>
      <c r="K657">
        <f t="shared" si="21"/>
        <v>8587</v>
      </c>
      <c r="L657" t="str">
        <f>VLOOKUP($B657,dim_stores!$A$1:$C$51,2,0)</f>
        <v>Visakhapatnam</v>
      </c>
    </row>
    <row r="658" spans="1:12" x14ac:dyDescent="0.3">
      <c r="A658" t="s">
        <v>687</v>
      </c>
      <c r="B658" t="s">
        <v>207</v>
      </c>
      <c r="C658" t="s">
        <v>10</v>
      </c>
      <c r="D658" t="s">
        <v>24</v>
      </c>
      <c r="E658">
        <v>3000</v>
      </c>
      <c r="F658" t="s">
        <v>25</v>
      </c>
      <c r="G658">
        <v>121</v>
      </c>
      <c r="H658">
        <v>274</v>
      </c>
      <c r="I658" t="str">
        <f>_xlfn.XLOOKUP($C658,dim_campaigns!$D$2:$D$3,dim_campaigns!$A$2:$A$3,"",0)</f>
        <v>Sankranti</v>
      </c>
      <c r="J658" s="6">
        <f t="shared" si="20"/>
        <v>1.2644628099173554</v>
      </c>
      <c r="K658">
        <f t="shared" si="21"/>
        <v>1048000</v>
      </c>
      <c r="L658" t="str">
        <f>VLOOKUP($B658,dim_stores!$A$1:$C$51,2,0)</f>
        <v>Hyderabad</v>
      </c>
    </row>
    <row r="659" spans="1:12" x14ac:dyDescent="0.3">
      <c r="A659" t="s">
        <v>688</v>
      </c>
      <c r="B659" t="s">
        <v>117</v>
      </c>
      <c r="C659" t="s">
        <v>10</v>
      </c>
      <c r="D659" t="s">
        <v>48</v>
      </c>
      <c r="E659">
        <v>62</v>
      </c>
      <c r="F659" t="s">
        <v>12</v>
      </c>
      <c r="G659">
        <v>31</v>
      </c>
      <c r="H659">
        <v>45</v>
      </c>
      <c r="I659" t="str">
        <f>_xlfn.XLOOKUP($C659,dim_campaigns!$D$2:$D$3,dim_campaigns!$A$2:$A$3,"",0)</f>
        <v>Sankranti</v>
      </c>
      <c r="J659" s="6">
        <f t="shared" si="20"/>
        <v>0.45161290322580644</v>
      </c>
      <c r="K659">
        <f t="shared" si="21"/>
        <v>3317</v>
      </c>
      <c r="L659" t="str">
        <f>VLOOKUP($B659,dim_stores!$A$1:$C$51,2,0)</f>
        <v>Mangalore</v>
      </c>
    </row>
    <row r="660" spans="1:12" x14ac:dyDescent="0.3">
      <c r="A660" t="s">
        <v>689</v>
      </c>
      <c r="B660" t="s">
        <v>96</v>
      </c>
      <c r="C660" t="s">
        <v>10</v>
      </c>
      <c r="D660" t="s">
        <v>68</v>
      </c>
      <c r="E660">
        <v>1020</v>
      </c>
      <c r="F660" t="s">
        <v>21</v>
      </c>
      <c r="G660">
        <v>78</v>
      </c>
      <c r="H660">
        <v>331</v>
      </c>
      <c r="I660" t="str">
        <f>_xlfn.XLOOKUP($C660,dim_campaigns!$D$2:$D$3,dim_campaigns!$A$2:$A$3,"",0)</f>
        <v>Sankranti</v>
      </c>
      <c r="J660" s="6">
        <f t="shared" si="20"/>
        <v>3.2435897435897436</v>
      </c>
      <c r="K660">
        <f t="shared" si="21"/>
        <v>248370</v>
      </c>
      <c r="L660" t="str">
        <f>VLOOKUP($B660,dim_stores!$A$1:$C$51,2,0)</f>
        <v>Mysuru</v>
      </c>
    </row>
    <row r="661" spans="1:12" x14ac:dyDescent="0.3">
      <c r="A661" t="s">
        <v>690</v>
      </c>
      <c r="B661" t="s">
        <v>67</v>
      </c>
      <c r="C661" t="s">
        <v>15</v>
      </c>
      <c r="D661" t="s">
        <v>35</v>
      </c>
      <c r="E661">
        <v>350</v>
      </c>
      <c r="F661" t="s">
        <v>21</v>
      </c>
      <c r="G661">
        <v>73</v>
      </c>
      <c r="H661">
        <v>282</v>
      </c>
      <c r="I661" t="str">
        <f>_xlfn.XLOOKUP($C661,dim_campaigns!$D$2:$D$3,dim_campaigns!$A$2:$A$3,"",0)</f>
        <v>Diwali</v>
      </c>
      <c r="J661" s="6">
        <f t="shared" si="20"/>
        <v>2.8630136986301369</v>
      </c>
      <c r="K661">
        <f t="shared" si="21"/>
        <v>74900</v>
      </c>
      <c r="L661" t="str">
        <f>VLOOKUP($B661,dim_stores!$A$1:$C$51,2,0)</f>
        <v>Bengaluru</v>
      </c>
    </row>
    <row r="662" spans="1:12" x14ac:dyDescent="0.3">
      <c r="A662" t="s">
        <v>691</v>
      </c>
      <c r="B662" t="s">
        <v>63</v>
      </c>
      <c r="C662" t="s">
        <v>10</v>
      </c>
      <c r="D662" t="s">
        <v>48</v>
      </c>
      <c r="E662">
        <v>62</v>
      </c>
      <c r="F662" t="s">
        <v>12</v>
      </c>
      <c r="G662">
        <v>46</v>
      </c>
      <c r="H662">
        <v>66</v>
      </c>
      <c r="I662" t="str">
        <f>_xlfn.XLOOKUP($C662,dim_campaigns!$D$2:$D$3,dim_campaigns!$A$2:$A$3,"",0)</f>
        <v>Sankranti</v>
      </c>
      <c r="J662" s="6">
        <f t="shared" si="20"/>
        <v>0.43478260869565216</v>
      </c>
      <c r="K662">
        <f t="shared" si="21"/>
        <v>4898</v>
      </c>
      <c r="L662" t="str">
        <f>VLOOKUP($B662,dim_stores!$A$1:$C$51,2,0)</f>
        <v>Visakhapatnam</v>
      </c>
    </row>
    <row r="663" spans="1:12" x14ac:dyDescent="0.3">
      <c r="A663" t="s">
        <v>692</v>
      </c>
      <c r="B663" t="s">
        <v>107</v>
      </c>
      <c r="C663" t="s">
        <v>15</v>
      </c>
      <c r="D663" t="s">
        <v>38</v>
      </c>
      <c r="E663">
        <v>1190</v>
      </c>
      <c r="F663" t="s">
        <v>21</v>
      </c>
      <c r="G663">
        <v>29</v>
      </c>
      <c r="H663">
        <v>98</v>
      </c>
      <c r="I663" t="str">
        <f>_xlfn.XLOOKUP($C663,dim_campaigns!$D$2:$D$3,dim_campaigns!$A$2:$A$3,"",0)</f>
        <v>Diwali</v>
      </c>
      <c r="J663" s="6">
        <f t="shared" si="20"/>
        <v>2.3793103448275863</v>
      </c>
      <c r="K663">
        <f t="shared" si="21"/>
        <v>92820</v>
      </c>
      <c r="L663" t="str">
        <f>VLOOKUP($B663,dim_stores!$A$1:$C$51,2,0)</f>
        <v>Coimbatore</v>
      </c>
    </row>
    <row r="664" spans="1:12" x14ac:dyDescent="0.3">
      <c r="A664" t="s">
        <v>693</v>
      </c>
      <c r="B664" t="s">
        <v>95</v>
      </c>
      <c r="C664" t="s">
        <v>10</v>
      </c>
      <c r="D664" t="s">
        <v>20</v>
      </c>
      <c r="E664">
        <v>300</v>
      </c>
      <c r="F664" t="s">
        <v>21</v>
      </c>
      <c r="G664">
        <v>48</v>
      </c>
      <c r="H664">
        <v>188</v>
      </c>
      <c r="I664" t="str">
        <f>_xlfn.XLOOKUP($C664,dim_campaigns!$D$2:$D$3,dim_campaigns!$A$2:$A$3,"",0)</f>
        <v>Sankranti</v>
      </c>
      <c r="J664" s="6">
        <f t="shared" si="20"/>
        <v>2.9166666666666665</v>
      </c>
      <c r="K664">
        <f t="shared" si="21"/>
        <v>42600</v>
      </c>
      <c r="L664" t="str">
        <f>VLOOKUP($B664,dim_stores!$A$1:$C$51,2,0)</f>
        <v>Hyderabad</v>
      </c>
    </row>
    <row r="665" spans="1:12" x14ac:dyDescent="0.3">
      <c r="A665" t="s">
        <v>694</v>
      </c>
      <c r="B665" t="s">
        <v>126</v>
      </c>
      <c r="C665" t="s">
        <v>15</v>
      </c>
      <c r="D665" t="s">
        <v>20</v>
      </c>
      <c r="E665">
        <v>300</v>
      </c>
      <c r="F665" t="s">
        <v>21</v>
      </c>
      <c r="G665">
        <v>38</v>
      </c>
      <c r="H665">
        <v>113</v>
      </c>
      <c r="I665" t="str">
        <f>_xlfn.XLOOKUP($C665,dim_campaigns!$D$2:$D$3,dim_campaigns!$A$2:$A$3,"",0)</f>
        <v>Diwali</v>
      </c>
      <c r="J665" s="6">
        <f t="shared" si="20"/>
        <v>1.9736842105263157</v>
      </c>
      <c r="K665">
        <f t="shared" si="21"/>
        <v>28350</v>
      </c>
      <c r="L665" t="str">
        <f>VLOOKUP($B665,dim_stores!$A$1:$C$51,2,0)</f>
        <v>Mangalore</v>
      </c>
    </row>
    <row r="666" spans="1:12" x14ac:dyDescent="0.3">
      <c r="A666" t="s">
        <v>695</v>
      </c>
      <c r="B666" t="s">
        <v>115</v>
      </c>
      <c r="C666" t="s">
        <v>15</v>
      </c>
      <c r="D666" t="s">
        <v>43</v>
      </c>
      <c r="E666">
        <v>415</v>
      </c>
      <c r="F666" t="s">
        <v>17</v>
      </c>
      <c r="G666">
        <v>91</v>
      </c>
      <c r="H666">
        <v>89</v>
      </c>
      <c r="I666" t="str">
        <f>_xlfn.XLOOKUP($C666,dim_campaigns!$D$2:$D$3,dim_campaigns!$A$2:$A$3,"",0)</f>
        <v>Diwali</v>
      </c>
      <c r="J666" s="6">
        <f t="shared" si="20"/>
        <v>-2.197802197802198E-2</v>
      </c>
      <c r="K666">
        <f t="shared" si="21"/>
        <v>65466.25</v>
      </c>
      <c r="L666" t="str">
        <f>VLOOKUP($B666,dim_stores!$A$1:$C$51,2,0)</f>
        <v>Bengaluru</v>
      </c>
    </row>
    <row r="667" spans="1:12" x14ac:dyDescent="0.3">
      <c r="A667" t="s">
        <v>696</v>
      </c>
      <c r="B667" t="s">
        <v>42</v>
      </c>
      <c r="C667" t="s">
        <v>10</v>
      </c>
      <c r="D667" t="s">
        <v>20</v>
      </c>
      <c r="E667">
        <v>300</v>
      </c>
      <c r="F667" t="s">
        <v>21</v>
      </c>
      <c r="G667">
        <v>45</v>
      </c>
      <c r="H667">
        <v>122</v>
      </c>
      <c r="I667" t="str">
        <f>_xlfn.XLOOKUP($C667,dim_campaigns!$D$2:$D$3,dim_campaigns!$A$2:$A$3,"",0)</f>
        <v>Sankranti</v>
      </c>
      <c r="J667" s="6">
        <f t="shared" si="20"/>
        <v>1.711111111111111</v>
      </c>
      <c r="K667">
        <f t="shared" si="21"/>
        <v>31800</v>
      </c>
      <c r="L667" t="str">
        <f>VLOOKUP($B667,dim_stores!$A$1:$C$51,2,0)</f>
        <v>Mysuru</v>
      </c>
    </row>
    <row r="668" spans="1:12" x14ac:dyDescent="0.3">
      <c r="A668" t="s">
        <v>697</v>
      </c>
      <c r="B668" t="s">
        <v>190</v>
      </c>
      <c r="C668" t="s">
        <v>15</v>
      </c>
      <c r="D668" t="s">
        <v>43</v>
      </c>
      <c r="E668">
        <v>415</v>
      </c>
      <c r="F668" t="s">
        <v>17</v>
      </c>
      <c r="G668">
        <v>64</v>
      </c>
      <c r="H668">
        <v>58</v>
      </c>
      <c r="I668" t="str">
        <f>_xlfn.XLOOKUP($C668,dim_campaigns!$D$2:$D$3,dim_campaigns!$A$2:$A$3,"",0)</f>
        <v>Diwali</v>
      </c>
      <c r="J668" s="6">
        <f t="shared" si="20"/>
        <v>-9.375E-2</v>
      </c>
      <c r="K668">
        <f t="shared" si="21"/>
        <v>44612.5</v>
      </c>
      <c r="L668" t="str">
        <f>VLOOKUP($B668,dim_stores!$A$1:$C$51,2,0)</f>
        <v>Visakhapatnam</v>
      </c>
    </row>
    <row r="669" spans="1:12" x14ac:dyDescent="0.3">
      <c r="A669" t="s">
        <v>698</v>
      </c>
      <c r="B669" t="s">
        <v>81</v>
      </c>
      <c r="C669" t="s">
        <v>10</v>
      </c>
      <c r="D669" t="s">
        <v>11</v>
      </c>
      <c r="E669">
        <v>190</v>
      </c>
      <c r="F669" t="s">
        <v>12</v>
      </c>
      <c r="G669">
        <v>34</v>
      </c>
      <c r="H669">
        <v>47</v>
      </c>
      <c r="I669" t="str">
        <f>_xlfn.XLOOKUP($C669,dim_campaigns!$D$2:$D$3,dim_campaigns!$A$2:$A$3,"",0)</f>
        <v>Sankranti</v>
      </c>
      <c r="J669" s="6">
        <f t="shared" si="20"/>
        <v>0.38235294117647056</v>
      </c>
      <c r="K669">
        <f t="shared" si="21"/>
        <v>10925</v>
      </c>
      <c r="L669" t="str">
        <f>VLOOKUP($B669,dim_stores!$A$1:$C$51,2,0)</f>
        <v>Madurai</v>
      </c>
    </row>
    <row r="670" spans="1:12" x14ac:dyDescent="0.3">
      <c r="A670" t="s">
        <v>699</v>
      </c>
      <c r="B670" t="s">
        <v>123</v>
      </c>
      <c r="C670" t="s">
        <v>15</v>
      </c>
      <c r="D670" t="s">
        <v>43</v>
      </c>
      <c r="E670">
        <v>415</v>
      </c>
      <c r="F670" t="s">
        <v>17</v>
      </c>
      <c r="G670">
        <v>87</v>
      </c>
      <c r="H670">
        <v>82</v>
      </c>
      <c r="I670" t="str">
        <f>_xlfn.XLOOKUP($C670,dim_campaigns!$D$2:$D$3,dim_campaigns!$A$2:$A$3,"",0)</f>
        <v>Diwali</v>
      </c>
      <c r="J670" s="6">
        <f t="shared" si="20"/>
        <v>-5.7471264367816091E-2</v>
      </c>
      <c r="K670">
        <f t="shared" si="21"/>
        <v>61627.5</v>
      </c>
      <c r="L670" t="str">
        <f>VLOOKUP($B670,dim_stores!$A$1:$C$51,2,0)</f>
        <v>Bengaluru</v>
      </c>
    </row>
    <row r="671" spans="1:12" x14ac:dyDescent="0.3">
      <c r="A671" t="s">
        <v>700</v>
      </c>
      <c r="B671" t="s">
        <v>75</v>
      </c>
      <c r="C671" t="s">
        <v>15</v>
      </c>
      <c r="D671" t="s">
        <v>38</v>
      </c>
      <c r="E671">
        <v>1190</v>
      </c>
      <c r="F671" t="s">
        <v>21</v>
      </c>
      <c r="G671">
        <v>26</v>
      </c>
      <c r="H671">
        <v>91</v>
      </c>
      <c r="I671" t="str">
        <f>_xlfn.XLOOKUP($C671,dim_campaigns!$D$2:$D$3,dim_campaigns!$A$2:$A$3,"",0)</f>
        <v>Diwali</v>
      </c>
      <c r="J671" s="6">
        <f t="shared" si="20"/>
        <v>2.5</v>
      </c>
      <c r="K671">
        <f t="shared" si="21"/>
        <v>85085</v>
      </c>
      <c r="L671" t="str">
        <f>VLOOKUP($B671,dim_stores!$A$1:$C$51,2,0)</f>
        <v>Madurai</v>
      </c>
    </row>
    <row r="672" spans="1:12" x14ac:dyDescent="0.3">
      <c r="A672">
        <v>252235</v>
      </c>
      <c r="B672" t="s">
        <v>34</v>
      </c>
      <c r="C672" t="s">
        <v>15</v>
      </c>
      <c r="D672" t="s">
        <v>20</v>
      </c>
      <c r="E672">
        <v>300</v>
      </c>
      <c r="F672" t="s">
        <v>21</v>
      </c>
      <c r="G672">
        <v>64</v>
      </c>
      <c r="H672">
        <v>223</v>
      </c>
      <c r="I672" t="str">
        <f>_xlfn.XLOOKUP($C672,dim_campaigns!$D$2:$D$3,dim_campaigns!$A$2:$A$3,"",0)</f>
        <v>Diwali</v>
      </c>
      <c r="J672" s="6">
        <f t="shared" si="20"/>
        <v>2.484375</v>
      </c>
      <c r="K672">
        <f t="shared" si="21"/>
        <v>52650</v>
      </c>
      <c r="L672" t="str">
        <f>VLOOKUP($B672,dim_stores!$A$1:$C$51,2,0)</f>
        <v>Hyderabad</v>
      </c>
    </row>
    <row r="673" spans="1:12" x14ac:dyDescent="0.3">
      <c r="A673" t="s">
        <v>701</v>
      </c>
      <c r="B673" t="s">
        <v>113</v>
      </c>
      <c r="C673" t="s">
        <v>10</v>
      </c>
      <c r="D673" t="s">
        <v>16</v>
      </c>
      <c r="E673">
        <v>200</v>
      </c>
      <c r="F673" t="s">
        <v>21</v>
      </c>
      <c r="G673">
        <v>424</v>
      </c>
      <c r="H673">
        <v>1127</v>
      </c>
      <c r="I673" t="str">
        <f>_xlfn.XLOOKUP($C673,dim_campaigns!$D$2:$D$3,dim_campaigns!$A$2:$A$3,"",0)</f>
        <v>Sankranti</v>
      </c>
      <c r="J673" s="6">
        <f t="shared" si="20"/>
        <v>1.6580188679245282</v>
      </c>
      <c r="K673">
        <f t="shared" si="21"/>
        <v>197500</v>
      </c>
      <c r="L673" t="str">
        <f>VLOOKUP($B673,dim_stores!$A$1:$C$51,2,0)</f>
        <v>Chennai</v>
      </c>
    </row>
    <row r="674" spans="1:12" x14ac:dyDescent="0.3">
      <c r="A674" t="s">
        <v>702</v>
      </c>
      <c r="B674" t="s">
        <v>139</v>
      </c>
      <c r="C674" t="s">
        <v>15</v>
      </c>
      <c r="D674" t="s">
        <v>61</v>
      </c>
      <c r="E674">
        <v>172</v>
      </c>
      <c r="F674" t="s">
        <v>54</v>
      </c>
      <c r="G674">
        <v>229</v>
      </c>
      <c r="H674">
        <v>293</v>
      </c>
      <c r="I674" t="str">
        <f>_xlfn.XLOOKUP($C674,dim_campaigns!$D$2:$D$3,dim_campaigns!$A$2:$A$3,"",0)</f>
        <v>Diwali</v>
      </c>
      <c r="J674" s="6">
        <f t="shared" si="20"/>
        <v>0.27947598253275108</v>
      </c>
      <c r="K674">
        <f t="shared" si="21"/>
        <v>73153.320000000007</v>
      </c>
      <c r="L674" t="str">
        <f>VLOOKUP($B674,dim_stores!$A$1:$C$51,2,0)</f>
        <v>Visakhapatnam</v>
      </c>
    </row>
    <row r="675" spans="1:12" x14ac:dyDescent="0.3">
      <c r="A675" t="s">
        <v>703</v>
      </c>
      <c r="B675" t="s">
        <v>27</v>
      </c>
      <c r="C675" t="s">
        <v>10</v>
      </c>
      <c r="D675" t="s">
        <v>24</v>
      </c>
      <c r="E675">
        <v>3000</v>
      </c>
      <c r="F675" t="s">
        <v>25</v>
      </c>
      <c r="G675">
        <v>147</v>
      </c>
      <c r="H675">
        <v>385</v>
      </c>
      <c r="I675" t="str">
        <f>_xlfn.XLOOKUP($C675,dim_campaigns!$D$2:$D$3,dim_campaigns!$A$2:$A$3,"",0)</f>
        <v>Sankranti</v>
      </c>
      <c r="J675" s="6">
        <f t="shared" si="20"/>
        <v>1.6190476190476191</v>
      </c>
      <c r="K675">
        <f t="shared" si="21"/>
        <v>1403500</v>
      </c>
      <c r="L675" t="str">
        <f>VLOOKUP($B675,dim_stores!$A$1:$C$51,2,0)</f>
        <v>Bengaluru</v>
      </c>
    </row>
    <row r="676" spans="1:12" x14ac:dyDescent="0.3">
      <c r="A676" t="s">
        <v>704</v>
      </c>
      <c r="B676" t="s">
        <v>45</v>
      </c>
      <c r="C676" t="s">
        <v>10</v>
      </c>
      <c r="D676" t="s">
        <v>16</v>
      </c>
      <c r="E676">
        <v>200</v>
      </c>
      <c r="F676" t="s">
        <v>21</v>
      </c>
      <c r="G676">
        <v>378</v>
      </c>
      <c r="H676">
        <v>1459</v>
      </c>
      <c r="I676" t="str">
        <f>_xlfn.XLOOKUP($C676,dim_campaigns!$D$2:$D$3,dim_campaigns!$A$2:$A$3,"",0)</f>
        <v>Sankranti</v>
      </c>
      <c r="J676" s="6">
        <f t="shared" si="20"/>
        <v>2.85978835978836</v>
      </c>
      <c r="K676">
        <f t="shared" si="21"/>
        <v>221500</v>
      </c>
      <c r="L676" t="str">
        <f>VLOOKUP($B676,dim_stores!$A$1:$C$51,2,0)</f>
        <v>Hyderabad</v>
      </c>
    </row>
    <row r="677" spans="1:12" x14ac:dyDescent="0.3">
      <c r="A677" t="s">
        <v>705</v>
      </c>
      <c r="B677" t="s">
        <v>117</v>
      </c>
      <c r="C677" t="s">
        <v>15</v>
      </c>
      <c r="D677" t="s">
        <v>20</v>
      </c>
      <c r="E677">
        <v>300</v>
      </c>
      <c r="F677" t="s">
        <v>21</v>
      </c>
      <c r="G677">
        <v>29</v>
      </c>
      <c r="H677">
        <v>97</v>
      </c>
      <c r="I677" t="str">
        <f>_xlfn.XLOOKUP($C677,dim_campaigns!$D$2:$D$3,dim_campaigns!$A$2:$A$3,"",0)</f>
        <v>Diwali</v>
      </c>
      <c r="J677" s="6">
        <f t="shared" si="20"/>
        <v>2.3448275862068964</v>
      </c>
      <c r="K677">
        <f t="shared" si="21"/>
        <v>23250</v>
      </c>
      <c r="L677" t="str">
        <f>VLOOKUP($B677,dim_stores!$A$1:$C$51,2,0)</f>
        <v>Mangalore</v>
      </c>
    </row>
    <row r="678" spans="1:12" x14ac:dyDescent="0.3">
      <c r="A678" t="s">
        <v>706</v>
      </c>
      <c r="B678" t="s">
        <v>75</v>
      </c>
      <c r="C678" t="s">
        <v>10</v>
      </c>
      <c r="D678" t="s">
        <v>51</v>
      </c>
      <c r="E678">
        <v>370</v>
      </c>
      <c r="F678" t="s">
        <v>21</v>
      </c>
      <c r="G678">
        <v>303</v>
      </c>
      <c r="H678">
        <v>1172</v>
      </c>
      <c r="I678" t="str">
        <f>_xlfn.XLOOKUP($C678,dim_campaigns!$D$2:$D$3,dim_campaigns!$A$2:$A$3,"",0)</f>
        <v>Sankranti</v>
      </c>
      <c r="J678" s="6">
        <f t="shared" si="20"/>
        <v>2.8679867986798682</v>
      </c>
      <c r="K678">
        <f t="shared" si="21"/>
        <v>328930</v>
      </c>
      <c r="L678" t="str">
        <f>VLOOKUP($B678,dim_stores!$A$1:$C$51,2,0)</f>
        <v>Madurai</v>
      </c>
    </row>
    <row r="679" spans="1:12" x14ac:dyDescent="0.3">
      <c r="A679" t="s">
        <v>707</v>
      </c>
      <c r="B679" t="s">
        <v>107</v>
      </c>
      <c r="C679" t="s">
        <v>15</v>
      </c>
      <c r="D679" t="s">
        <v>51</v>
      </c>
      <c r="E679">
        <v>290</v>
      </c>
      <c r="F679" t="s">
        <v>17</v>
      </c>
      <c r="G679">
        <v>211</v>
      </c>
      <c r="H679">
        <v>202</v>
      </c>
      <c r="I679" t="str">
        <f>_xlfn.XLOOKUP($C679,dim_campaigns!$D$2:$D$3,dim_campaigns!$A$2:$A$3,"",0)</f>
        <v>Diwali</v>
      </c>
      <c r="J679" s="6">
        <f t="shared" si="20"/>
        <v>-4.2654028436018961E-2</v>
      </c>
      <c r="K679">
        <f t="shared" si="21"/>
        <v>105125</v>
      </c>
      <c r="L679" t="str">
        <f>VLOOKUP($B679,dim_stores!$A$1:$C$51,2,0)</f>
        <v>Coimbatore</v>
      </c>
    </row>
    <row r="680" spans="1:12" x14ac:dyDescent="0.3">
      <c r="A680" t="s">
        <v>708</v>
      </c>
      <c r="B680" t="s">
        <v>96</v>
      </c>
      <c r="C680" t="s">
        <v>10</v>
      </c>
      <c r="D680" t="s">
        <v>24</v>
      </c>
      <c r="E680">
        <v>3000</v>
      </c>
      <c r="F680" t="s">
        <v>25</v>
      </c>
      <c r="G680">
        <v>160</v>
      </c>
      <c r="H680">
        <v>443</v>
      </c>
      <c r="I680" t="str">
        <f>_xlfn.XLOOKUP($C680,dim_campaigns!$D$2:$D$3,dim_campaigns!$A$2:$A$3,"",0)</f>
        <v>Sankranti</v>
      </c>
      <c r="J680" s="6">
        <f t="shared" si="20"/>
        <v>1.76875</v>
      </c>
      <c r="K680">
        <f t="shared" si="21"/>
        <v>1587500</v>
      </c>
      <c r="L680" t="str">
        <f>VLOOKUP($B680,dim_stores!$A$1:$C$51,2,0)</f>
        <v>Mysuru</v>
      </c>
    </row>
    <row r="681" spans="1:12" x14ac:dyDescent="0.3">
      <c r="A681" t="s">
        <v>709</v>
      </c>
      <c r="B681" t="s">
        <v>126</v>
      </c>
      <c r="C681" t="s">
        <v>15</v>
      </c>
      <c r="D681" t="s">
        <v>48</v>
      </c>
      <c r="E681">
        <v>62</v>
      </c>
      <c r="F681" t="s">
        <v>12</v>
      </c>
      <c r="G681">
        <v>70</v>
      </c>
      <c r="H681">
        <v>88</v>
      </c>
      <c r="I681" t="str">
        <f>_xlfn.XLOOKUP($C681,dim_campaigns!$D$2:$D$3,dim_campaigns!$A$2:$A$3,"",0)</f>
        <v>Diwali</v>
      </c>
      <c r="J681" s="6">
        <f t="shared" si="20"/>
        <v>0.25714285714285712</v>
      </c>
      <c r="K681">
        <f t="shared" si="21"/>
        <v>7068</v>
      </c>
      <c r="L681" t="str">
        <f>VLOOKUP($B681,dim_stores!$A$1:$C$51,2,0)</f>
        <v>Mangalore</v>
      </c>
    </row>
    <row r="682" spans="1:12" x14ac:dyDescent="0.3">
      <c r="A682" t="s">
        <v>710</v>
      </c>
      <c r="B682" t="s">
        <v>91</v>
      </c>
      <c r="C682" t="s">
        <v>15</v>
      </c>
      <c r="D682" t="s">
        <v>38</v>
      </c>
      <c r="E682">
        <v>1190</v>
      </c>
      <c r="F682" t="s">
        <v>21</v>
      </c>
      <c r="G682">
        <v>50</v>
      </c>
      <c r="H682">
        <v>156</v>
      </c>
      <c r="I682" t="str">
        <f>_xlfn.XLOOKUP($C682,dim_campaigns!$D$2:$D$3,dim_campaigns!$A$2:$A$3,"",0)</f>
        <v>Diwali</v>
      </c>
      <c r="J682" s="6">
        <f t="shared" si="20"/>
        <v>2.12</v>
      </c>
      <c r="K682">
        <f t="shared" si="21"/>
        <v>152320</v>
      </c>
      <c r="L682" t="str">
        <f>VLOOKUP($B682,dim_stores!$A$1:$C$51,2,0)</f>
        <v>Hyderabad</v>
      </c>
    </row>
    <row r="683" spans="1:12" x14ac:dyDescent="0.3">
      <c r="A683" t="s">
        <v>711</v>
      </c>
      <c r="B683" t="s">
        <v>96</v>
      </c>
      <c r="C683" t="s">
        <v>15</v>
      </c>
      <c r="D683" t="s">
        <v>85</v>
      </c>
      <c r="E683">
        <v>110</v>
      </c>
      <c r="F683" t="s">
        <v>12</v>
      </c>
      <c r="G683">
        <v>68</v>
      </c>
      <c r="H683">
        <v>76</v>
      </c>
      <c r="I683" t="str">
        <f>_xlfn.XLOOKUP($C683,dim_campaigns!$D$2:$D$3,dim_campaigns!$A$2:$A$3,"",0)</f>
        <v>Diwali</v>
      </c>
      <c r="J683" s="6">
        <f t="shared" si="20"/>
        <v>0.11764705882352941</v>
      </c>
      <c r="K683">
        <f t="shared" si="21"/>
        <v>11660</v>
      </c>
      <c r="L683" t="str">
        <f>VLOOKUP($B683,dim_stores!$A$1:$C$51,2,0)</f>
        <v>Mysuru</v>
      </c>
    </row>
    <row r="684" spans="1:12" x14ac:dyDescent="0.3">
      <c r="A684" t="s">
        <v>712</v>
      </c>
      <c r="B684" t="s">
        <v>93</v>
      </c>
      <c r="C684" t="s">
        <v>10</v>
      </c>
      <c r="D684" t="s">
        <v>24</v>
      </c>
      <c r="E684">
        <v>3000</v>
      </c>
      <c r="F684" t="s">
        <v>25</v>
      </c>
      <c r="G684">
        <v>166</v>
      </c>
      <c r="H684">
        <v>396</v>
      </c>
      <c r="I684" t="str">
        <f>_xlfn.XLOOKUP($C684,dim_campaigns!$D$2:$D$3,dim_campaigns!$A$2:$A$3,"",0)</f>
        <v>Sankranti</v>
      </c>
      <c r="J684" s="6">
        <f t="shared" si="20"/>
        <v>1.3855421686746987</v>
      </c>
      <c r="K684">
        <f t="shared" si="21"/>
        <v>1488000</v>
      </c>
      <c r="L684" t="str">
        <f>VLOOKUP($B684,dim_stores!$A$1:$C$51,2,0)</f>
        <v>Bengaluru</v>
      </c>
    </row>
    <row r="685" spans="1:12" x14ac:dyDescent="0.3">
      <c r="A685" t="s">
        <v>713</v>
      </c>
      <c r="B685" t="s">
        <v>107</v>
      </c>
      <c r="C685" t="s">
        <v>15</v>
      </c>
      <c r="D685" t="s">
        <v>43</v>
      </c>
      <c r="E685">
        <v>415</v>
      </c>
      <c r="F685" t="s">
        <v>17</v>
      </c>
      <c r="G685">
        <v>59</v>
      </c>
      <c r="H685">
        <v>56</v>
      </c>
      <c r="I685" t="str">
        <f>_xlfn.XLOOKUP($C685,dim_campaigns!$D$2:$D$3,dim_campaigns!$A$2:$A$3,"",0)</f>
        <v>Diwali</v>
      </c>
      <c r="J685" s="6">
        <f t="shared" si="20"/>
        <v>-5.0847457627118647E-2</v>
      </c>
      <c r="K685">
        <f t="shared" si="21"/>
        <v>41915</v>
      </c>
      <c r="L685" t="str">
        <f>VLOOKUP($B685,dim_stores!$A$1:$C$51,2,0)</f>
        <v>Coimbatore</v>
      </c>
    </row>
    <row r="686" spans="1:12" x14ac:dyDescent="0.3">
      <c r="A686" t="s">
        <v>714</v>
      </c>
      <c r="B686" t="s">
        <v>70</v>
      </c>
      <c r="C686" t="s">
        <v>10</v>
      </c>
      <c r="D686" t="s">
        <v>85</v>
      </c>
      <c r="E686">
        <v>90</v>
      </c>
      <c r="F686" t="s">
        <v>17</v>
      </c>
      <c r="G686">
        <v>73</v>
      </c>
      <c r="H686">
        <v>60</v>
      </c>
      <c r="I686" t="str">
        <f>_xlfn.XLOOKUP($C686,dim_campaigns!$D$2:$D$3,dim_campaigns!$A$2:$A$3,"",0)</f>
        <v>Sankranti</v>
      </c>
      <c r="J686" s="6">
        <f t="shared" si="20"/>
        <v>-0.17808219178082191</v>
      </c>
      <c r="K686">
        <f t="shared" si="21"/>
        <v>10620</v>
      </c>
      <c r="L686" t="str">
        <f>VLOOKUP($B686,dim_stores!$A$1:$C$51,2,0)</f>
        <v>Chennai</v>
      </c>
    </row>
    <row r="687" spans="1:12" x14ac:dyDescent="0.3">
      <c r="A687" t="s">
        <v>715</v>
      </c>
      <c r="B687" t="s">
        <v>63</v>
      </c>
      <c r="C687" t="s">
        <v>15</v>
      </c>
      <c r="D687" t="s">
        <v>38</v>
      </c>
      <c r="E687">
        <v>1190</v>
      </c>
      <c r="F687" t="s">
        <v>21</v>
      </c>
      <c r="G687">
        <v>35</v>
      </c>
      <c r="H687">
        <v>117</v>
      </c>
      <c r="I687" t="str">
        <f>_xlfn.XLOOKUP($C687,dim_campaigns!$D$2:$D$3,dim_campaigns!$A$2:$A$3,"",0)</f>
        <v>Diwali</v>
      </c>
      <c r="J687" s="6">
        <f t="shared" si="20"/>
        <v>2.342857142857143</v>
      </c>
      <c r="K687">
        <f t="shared" si="21"/>
        <v>111265</v>
      </c>
      <c r="L687" t="str">
        <f>VLOOKUP($B687,dim_stores!$A$1:$C$51,2,0)</f>
        <v>Visakhapatnam</v>
      </c>
    </row>
    <row r="688" spans="1:12" x14ac:dyDescent="0.3">
      <c r="A688" t="s">
        <v>716</v>
      </c>
      <c r="B688" t="s">
        <v>42</v>
      </c>
      <c r="C688" t="s">
        <v>10</v>
      </c>
      <c r="D688" t="s">
        <v>53</v>
      </c>
      <c r="E688">
        <v>860</v>
      </c>
      <c r="F688" t="s">
        <v>54</v>
      </c>
      <c r="G688">
        <v>484</v>
      </c>
      <c r="H688">
        <v>677</v>
      </c>
      <c r="I688" t="str">
        <f>_xlfn.XLOOKUP($C688,dim_campaigns!$D$2:$D$3,dim_campaigns!$A$2:$A$3,"",0)</f>
        <v>Sankranti</v>
      </c>
      <c r="J688" s="6">
        <f t="shared" si="20"/>
        <v>0.3987603305785124</v>
      </c>
      <c r="K688">
        <f t="shared" si="21"/>
        <v>806327.4</v>
      </c>
      <c r="L688" t="str">
        <f>VLOOKUP($B688,dim_stores!$A$1:$C$51,2,0)</f>
        <v>Mysuru</v>
      </c>
    </row>
    <row r="689" spans="1:12" x14ac:dyDescent="0.3">
      <c r="A689" t="s">
        <v>717</v>
      </c>
      <c r="B689" t="s">
        <v>56</v>
      </c>
      <c r="C689" t="s">
        <v>10</v>
      </c>
      <c r="D689" t="s">
        <v>51</v>
      </c>
      <c r="E689">
        <v>370</v>
      </c>
      <c r="F689" t="s">
        <v>21</v>
      </c>
      <c r="G689">
        <v>513</v>
      </c>
      <c r="H689">
        <v>2067</v>
      </c>
      <c r="I689" t="str">
        <f>_xlfn.XLOOKUP($C689,dim_campaigns!$D$2:$D$3,dim_campaigns!$A$2:$A$3,"",0)</f>
        <v>Sankranti</v>
      </c>
      <c r="J689" s="6">
        <f t="shared" si="20"/>
        <v>3.0292397660818713</v>
      </c>
      <c r="K689">
        <f t="shared" si="21"/>
        <v>572205</v>
      </c>
      <c r="L689" t="str">
        <f>VLOOKUP($B689,dim_stores!$A$1:$C$51,2,0)</f>
        <v>Chennai</v>
      </c>
    </row>
    <row r="690" spans="1:12" x14ac:dyDescent="0.3">
      <c r="A690" t="s">
        <v>718</v>
      </c>
      <c r="B690" t="s">
        <v>70</v>
      </c>
      <c r="C690" t="s">
        <v>10</v>
      </c>
      <c r="D690" t="s">
        <v>48</v>
      </c>
      <c r="E690">
        <v>62</v>
      </c>
      <c r="F690" t="s">
        <v>12</v>
      </c>
      <c r="G690">
        <v>60</v>
      </c>
      <c r="H690">
        <v>87</v>
      </c>
      <c r="I690" t="str">
        <f>_xlfn.XLOOKUP($C690,dim_campaigns!$D$2:$D$3,dim_campaigns!$A$2:$A$3,"",0)</f>
        <v>Sankranti</v>
      </c>
      <c r="J690" s="6">
        <f t="shared" si="20"/>
        <v>0.45</v>
      </c>
      <c r="K690">
        <f t="shared" si="21"/>
        <v>6417</v>
      </c>
      <c r="L690" t="str">
        <f>VLOOKUP($B690,dim_stores!$A$1:$C$51,2,0)</f>
        <v>Chennai</v>
      </c>
    </row>
    <row r="691" spans="1:12" x14ac:dyDescent="0.3">
      <c r="A691" t="s">
        <v>719</v>
      </c>
      <c r="B691" t="s">
        <v>78</v>
      </c>
      <c r="C691" t="s">
        <v>15</v>
      </c>
      <c r="D691" t="s">
        <v>43</v>
      </c>
      <c r="E691">
        <v>415</v>
      </c>
      <c r="F691" t="s">
        <v>17</v>
      </c>
      <c r="G691">
        <v>57</v>
      </c>
      <c r="H691">
        <v>49</v>
      </c>
      <c r="I691" t="str">
        <f>_xlfn.XLOOKUP($C691,dim_campaigns!$D$2:$D$3,dim_campaigns!$A$2:$A$3,"",0)</f>
        <v>Diwali</v>
      </c>
      <c r="J691" s="6">
        <f t="shared" si="20"/>
        <v>-0.14035087719298245</v>
      </c>
      <c r="K691">
        <f t="shared" si="21"/>
        <v>38906.25</v>
      </c>
      <c r="L691" t="str">
        <f>VLOOKUP($B691,dim_stores!$A$1:$C$51,2,0)</f>
        <v>Mysuru</v>
      </c>
    </row>
    <row r="692" spans="1:12" x14ac:dyDescent="0.3">
      <c r="A692" t="s">
        <v>720</v>
      </c>
      <c r="B692" t="s">
        <v>40</v>
      </c>
      <c r="C692" t="s">
        <v>15</v>
      </c>
      <c r="D692" t="s">
        <v>32</v>
      </c>
      <c r="E692">
        <v>65</v>
      </c>
      <c r="F692" t="s">
        <v>12</v>
      </c>
      <c r="G692">
        <v>61</v>
      </c>
      <c r="H692">
        <v>71</v>
      </c>
      <c r="I692" t="str">
        <f>_xlfn.XLOOKUP($C692,dim_campaigns!$D$2:$D$3,dim_campaigns!$A$2:$A$3,"",0)</f>
        <v>Diwali</v>
      </c>
      <c r="J692" s="6">
        <f t="shared" si="20"/>
        <v>0.16393442622950818</v>
      </c>
      <c r="K692">
        <f t="shared" si="21"/>
        <v>6272.5</v>
      </c>
      <c r="L692" t="str">
        <f>VLOOKUP($B692,dim_stores!$A$1:$C$51,2,0)</f>
        <v>Madurai</v>
      </c>
    </row>
    <row r="693" spans="1:12" x14ac:dyDescent="0.3">
      <c r="A693" t="s">
        <v>721</v>
      </c>
      <c r="B693" t="s">
        <v>115</v>
      </c>
      <c r="C693" t="s">
        <v>10</v>
      </c>
      <c r="D693" t="s">
        <v>20</v>
      </c>
      <c r="E693">
        <v>300</v>
      </c>
      <c r="F693" t="s">
        <v>21</v>
      </c>
      <c r="G693">
        <v>40</v>
      </c>
      <c r="H693">
        <v>159</v>
      </c>
      <c r="I693" t="str">
        <f>_xlfn.XLOOKUP($C693,dim_campaigns!$D$2:$D$3,dim_campaigns!$A$2:$A$3,"",0)</f>
        <v>Sankranti</v>
      </c>
      <c r="J693" s="6">
        <f t="shared" si="20"/>
        <v>2.9750000000000001</v>
      </c>
      <c r="K693">
        <f t="shared" si="21"/>
        <v>35850</v>
      </c>
      <c r="L693" t="str">
        <f>VLOOKUP($B693,dim_stores!$A$1:$C$51,2,0)</f>
        <v>Bengaluru</v>
      </c>
    </row>
    <row r="694" spans="1:12" x14ac:dyDescent="0.3">
      <c r="A694" t="s">
        <v>722</v>
      </c>
      <c r="B694" t="s">
        <v>58</v>
      </c>
      <c r="C694" t="s">
        <v>10</v>
      </c>
      <c r="D694" t="s">
        <v>51</v>
      </c>
      <c r="E694">
        <v>370</v>
      </c>
      <c r="F694" t="s">
        <v>21</v>
      </c>
      <c r="G694">
        <v>403</v>
      </c>
      <c r="H694">
        <v>1587</v>
      </c>
      <c r="I694" t="str">
        <f>_xlfn.XLOOKUP($C694,dim_campaigns!$D$2:$D$3,dim_campaigns!$A$2:$A$3,"",0)</f>
        <v>Sankranti</v>
      </c>
      <c r="J694" s="6">
        <f t="shared" si="20"/>
        <v>2.9379652605459059</v>
      </c>
      <c r="K694">
        <f t="shared" si="21"/>
        <v>442705</v>
      </c>
      <c r="L694" t="str">
        <f>VLOOKUP($B694,dim_stores!$A$1:$C$51,2,0)</f>
        <v>Chennai</v>
      </c>
    </row>
    <row r="695" spans="1:12" x14ac:dyDescent="0.3">
      <c r="A695" t="s">
        <v>723</v>
      </c>
      <c r="B695" t="s">
        <v>212</v>
      </c>
      <c r="C695" t="s">
        <v>10</v>
      </c>
      <c r="D695" t="s">
        <v>38</v>
      </c>
      <c r="E695">
        <v>1190</v>
      </c>
      <c r="F695" t="s">
        <v>21</v>
      </c>
      <c r="G695">
        <v>54</v>
      </c>
      <c r="H695">
        <v>235</v>
      </c>
      <c r="I695" t="str">
        <f>_xlfn.XLOOKUP($C695,dim_campaigns!$D$2:$D$3,dim_campaigns!$A$2:$A$3,"",0)</f>
        <v>Sankranti</v>
      </c>
      <c r="J695" s="6">
        <f t="shared" si="20"/>
        <v>3.3518518518518516</v>
      </c>
      <c r="K695">
        <f t="shared" si="21"/>
        <v>204085</v>
      </c>
      <c r="L695" t="str">
        <f>VLOOKUP($B695,dim_stores!$A$1:$C$51,2,0)</f>
        <v>Bengaluru</v>
      </c>
    </row>
    <row r="696" spans="1:12" x14ac:dyDescent="0.3">
      <c r="A696" t="s">
        <v>724</v>
      </c>
      <c r="B696" t="s">
        <v>137</v>
      </c>
      <c r="C696" t="s">
        <v>15</v>
      </c>
      <c r="D696" t="s">
        <v>61</v>
      </c>
      <c r="E696">
        <v>172</v>
      </c>
      <c r="F696" t="s">
        <v>54</v>
      </c>
      <c r="G696">
        <v>175</v>
      </c>
      <c r="H696">
        <v>222</v>
      </c>
      <c r="I696" t="str">
        <f>_xlfn.XLOOKUP($C696,dim_campaigns!$D$2:$D$3,dim_campaigns!$A$2:$A$3,"",0)</f>
        <v>Diwali</v>
      </c>
      <c r="J696" s="6">
        <f t="shared" si="20"/>
        <v>0.26857142857142857</v>
      </c>
      <c r="K696">
        <f t="shared" si="21"/>
        <v>55683.28</v>
      </c>
      <c r="L696" t="str">
        <f>VLOOKUP($B696,dim_stores!$A$1:$C$51,2,0)</f>
        <v>Mangalore</v>
      </c>
    </row>
    <row r="697" spans="1:12" x14ac:dyDescent="0.3">
      <c r="A697" t="s">
        <v>725</v>
      </c>
      <c r="B697" t="s">
        <v>19</v>
      </c>
      <c r="C697" t="s">
        <v>15</v>
      </c>
      <c r="D697" t="s">
        <v>24</v>
      </c>
      <c r="E697">
        <v>3000</v>
      </c>
      <c r="F697" t="s">
        <v>25</v>
      </c>
      <c r="G697">
        <v>218</v>
      </c>
      <c r="H697">
        <v>673</v>
      </c>
      <c r="I697" t="str">
        <f>_xlfn.XLOOKUP($C697,dim_campaigns!$D$2:$D$3,dim_campaigns!$A$2:$A$3,"",0)</f>
        <v>Diwali</v>
      </c>
      <c r="J697" s="6">
        <f t="shared" si="20"/>
        <v>2.0871559633027523</v>
      </c>
      <c r="K697">
        <f t="shared" si="21"/>
        <v>2336500</v>
      </c>
      <c r="L697" t="str">
        <f>VLOOKUP($B697,dim_stores!$A$1:$C$51,2,0)</f>
        <v>Vijayawada</v>
      </c>
    </row>
    <row r="698" spans="1:12" x14ac:dyDescent="0.3">
      <c r="A698" t="s">
        <v>726</v>
      </c>
      <c r="B698" t="s">
        <v>63</v>
      </c>
      <c r="C698" t="s">
        <v>15</v>
      </c>
      <c r="D698" t="s">
        <v>32</v>
      </c>
      <c r="E698">
        <v>65</v>
      </c>
      <c r="F698" t="s">
        <v>12</v>
      </c>
      <c r="G698">
        <v>98</v>
      </c>
      <c r="H698">
        <v>132</v>
      </c>
      <c r="I698" t="str">
        <f>_xlfn.XLOOKUP($C698,dim_campaigns!$D$2:$D$3,dim_campaigns!$A$2:$A$3,"",0)</f>
        <v>Diwali</v>
      </c>
      <c r="J698" s="6">
        <f t="shared" si="20"/>
        <v>0.34693877551020408</v>
      </c>
      <c r="K698">
        <f t="shared" si="21"/>
        <v>10660</v>
      </c>
      <c r="L698" t="str">
        <f>VLOOKUP($B698,dim_stores!$A$1:$C$51,2,0)</f>
        <v>Visakhapatnam</v>
      </c>
    </row>
    <row r="699" spans="1:12" x14ac:dyDescent="0.3">
      <c r="A699">
        <v>874377</v>
      </c>
      <c r="B699" t="s">
        <v>91</v>
      </c>
      <c r="C699" t="s">
        <v>15</v>
      </c>
      <c r="D699" t="s">
        <v>53</v>
      </c>
      <c r="E699">
        <v>860</v>
      </c>
      <c r="F699" t="s">
        <v>54</v>
      </c>
      <c r="G699">
        <v>365</v>
      </c>
      <c r="H699">
        <v>616</v>
      </c>
      <c r="I699" t="str">
        <f>_xlfn.XLOOKUP($C699,dim_campaigns!$D$2:$D$3,dim_campaigns!$A$2:$A$3,"",0)</f>
        <v>Diwali</v>
      </c>
      <c r="J699" s="6">
        <f t="shared" si="20"/>
        <v>0.68767123287671228</v>
      </c>
      <c r="K699">
        <f t="shared" si="21"/>
        <v>668839.19999999995</v>
      </c>
      <c r="L699" t="str">
        <f>VLOOKUP($B699,dim_stores!$A$1:$C$51,2,0)</f>
        <v>Hyderabad</v>
      </c>
    </row>
    <row r="700" spans="1:12" x14ac:dyDescent="0.3">
      <c r="A700" s="1">
        <v>7.8300000000000002E+87</v>
      </c>
      <c r="B700" t="s">
        <v>75</v>
      </c>
      <c r="C700" t="s">
        <v>15</v>
      </c>
      <c r="D700" t="s">
        <v>68</v>
      </c>
      <c r="E700">
        <v>1020</v>
      </c>
      <c r="F700" t="s">
        <v>21</v>
      </c>
      <c r="G700">
        <v>31</v>
      </c>
      <c r="H700">
        <v>108</v>
      </c>
      <c r="I700" t="str">
        <f>_xlfn.XLOOKUP($C700,dim_campaigns!$D$2:$D$3,dim_campaigns!$A$2:$A$3,"",0)</f>
        <v>Diwali</v>
      </c>
      <c r="J700" s="6">
        <f t="shared" si="20"/>
        <v>2.4838709677419355</v>
      </c>
      <c r="K700">
        <f t="shared" si="21"/>
        <v>86700</v>
      </c>
      <c r="L700" t="str">
        <f>VLOOKUP($B700,dim_stores!$A$1:$C$51,2,0)</f>
        <v>Madurai</v>
      </c>
    </row>
    <row r="701" spans="1:12" x14ac:dyDescent="0.3">
      <c r="A701" t="s">
        <v>727</v>
      </c>
      <c r="B701" t="s">
        <v>75</v>
      </c>
      <c r="C701" t="s">
        <v>15</v>
      </c>
      <c r="D701" t="s">
        <v>24</v>
      </c>
      <c r="E701">
        <v>3000</v>
      </c>
      <c r="F701" t="s">
        <v>25</v>
      </c>
      <c r="G701">
        <v>334</v>
      </c>
      <c r="H701">
        <v>1022</v>
      </c>
      <c r="I701" t="str">
        <f>_xlfn.XLOOKUP($C701,dim_campaigns!$D$2:$D$3,dim_campaigns!$A$2:$A$3,"",0)</f>
        <v>Diwali</v>
      </c>
      <c r="J701" s="6">
        <f t="shared" si="20"/>
        <v>2.0598802395209579</v>
      </c>
      <c r="K701">
        <f t="shared" si="21"/>
        <v>3557000</v>
      </c>
      <c r="L701" t="str">
        <f>VLOOKUP($B701,dim_stores!$A$1:$C$51,2,0)</f>
        <v>Madurai</v>
      </c>
    </row>
    <row r="702" spans="1:12" x14ac:dyDescent="0.3">
      <c r="A702" t="s">
        <v>728</v>
      </c>
      <c r="B702" t="s">
        <v>78</v>
      </c>
      <c r="C702" t="s">
        <v>15</v>
      </c>
      <c r="D702" t="s">
        <v>51</v>
      </c>
      <c r="E702">
        <v>290</v>
      </c>
      <c r="F702" t="s">
        <v>17</v>
      </c>
      <c r="G702">
        <v>234</v>
      </c>
      <c r="H702">
        <v>205</v>
      </c>
      <c r="I702" t="str">
        <f>_xlfn.XLOOKUP($C702,dim_campaigns!$D$2:$D$3,dim_campaigns!$A$2:$A$3,"",0)</f>
        <v>Diwali</v>
      </c>
      <c r="J702" s="6">
        <f t="shared" si="20"/>
        <v>-0.12393162393162394</v>
      </c>
      <c r="K702">
        <f t="shared" si="21"/>
        <v>112447.5</v>
      </c>
      <c r="L702" t="str">
        <f>VLOOKUP($B702,dim_stores!$A$1:$C$51,2,0)</f>
        <v>Mysuru</v>
      </c>
    </row>
    <row r="703" spans="1:12" x14ac:dyDescent="0.3">
      <c r="A703" t="s">
        <v>729</v>
      </c>
      <c r="B703" t="s">
        <v>84</v>
      </c>
      <c r="C703" t="s">
        <v>10</v>
      </c>
      <c r="D703" t="s">
        <v>16</v>
      </c>
      <c r="E703">
        <v>200</v>
      </c>
      <c r="F703" t="s">
        <v>21</v>
      </c>
      <c r="G703">
        <v>382</v>
      </c>
      <c r="H703">
        <v>1596</v>
      </c>
      <c r="I703" t="str">
        <f>_xlfn.XLOOKUP($C703,dim_campaigns!$D$2:$D$3,dim_campaigns!$A$2:$A$3,"",0)</f>
        <v>Sankranti</v>
      </c>
      <c r="J703" s="6">
        <f t="shared" si="20"/>
        <v>3.1780104712041886</v>
      </c>
      <c r="K703">
        <f t="shared" si="21"/>
        <v>236000</v>
      </c>
      <c r="L703" t="str">
        <f>VLOOKUP($B703,dim_stores!$A$1:$C$51,2,0)</f>
        <v>Mysuru</v>
      </c>
    </row>
    <row r="704" spans="1:12" x14ac:dyDescent="0.3">
      <c r="A704" t="s">
        <v>730</v>
      </c>
      <c r="B704" t="s">
        <v>58</v>
      </c>
      <c r="C704" t="s">
        <v>15</v>
      </c>
      <c r="D704" t="s">
        <v>16</v>
      </c>
      <c r="E704">
        <v>156</v>
      </c>
      <c r="F704" t="s">
        <v>17</v>
      </c>
      <c r="G704">
        <v>413</v>
      </c>
      <c r="H704">
        <v>375</v>
      </c>
      <c r="I704" t="str">
        <f>_xlfn.XLOOKUP($C704,dim_campaigns!$D$2:$D$3,dim_campaigns!$A$2:$A$3,"",0)</f>
        <v>Diwali</v>
      </c>
      <c r="J704" s="6">
        <f t="shared" si="20"/>
        <v>-9.2009685230024216E-2</v>
      </c>
      <c r="K704">
        <f t="shared" si="21"/>
        <v>108303</v>
      </c>
      <c r="L704" t="str">
        <f>VLOOKUP($B704,dim_stores!$A$1:$C$51,2,0)</f>
        <v>Chennai</v>
      </c>
    </row>
    <row r="705" spans="1:12" x14ac:dyDescent="0.3">
      <c r="A705" t="s">
        <v>731</v>
      </c>
      <c r="B705" t="s">
        <v>84</v>
      </c>
      <c r="C705" t="s">
        <v>15</v>
      </c>
      <c r="D705" t="s">
        <v>16</v>
      </c>
      <c r="E705">
        <v>156</v>
      </c>
      <c r="F705" t="s">
        <v>17</v>
      </c>
      <c r="G705">
        <v>281</v>
      </c>
      <c r="H705">
        <v>230</v>
      </c>
      <c r="I705" t="str">
        <f>_xlfn.XLOOKUP($C705,dim_campaigns!$D$2:$D$3,dim_campaigns!$A$2:$A$3,"",0)</f>
        <v>Diwali</v>
      </c>
      <c r="J705" s="6">
        <f t="shared" si="20"/>
        <v>-0.18149466192170818</v>
      </c>
      <c r="K705">
        <f t="shared" si="21"/>
        <v>70746</v>
      </c>
      <c r="L705" t="str">
        <f>VLOOKUP($B705,dim_stores!$A$1:$C$51,2,0)</f>
        <v>Mysuru</v>
      </c>
    </row>
    <row r="706" spans="1:12" x14ac:dyDescent="0.3">
      <c r="A706" t="s">
        <v>732</v>
      </c>
      <c r="B706" t="s">
        <v>113</v>
      </c>
      <c r="C706" t="s">
        <v>10</v>
      </c>
      <c r="D706" t="s">
        <v>28</v>
      </c>
      <c r="E706">
        <v>55</v>
      </c>
      <c r="F706" t="s">
        <v>17</v>
      </c>
      <c r="G706">
        <v>30</v>
      </c>
      <c r="H706">
        <v>25</v>
      </c>
      <c r="I706" t="str">
        <f>_xlfn.XLOOKUP($C706,dim_campaigns!$D$2:$D$3,dim_campaigns!$A$2:$A$3,"",0)</f>
        <v>Sankranti</v>
      </c>
      <c r="J706" s="6">
        <f t="shared" si="20"/>
        <v>-0.16666666666666666</v>
      </c>
      <c r="K706">
        <f t="shared" si="21"/>
        <v>2681.25</v>
      </c>
      <c r="L706" t="str">
        <f>VLOOKUP($B706,dim_stores!$A$1:$C$51,2,0)</f>
        <v>Chennai</v>
      </c>
    </row>
    <row r="707" spans="1:12" x14ac:dyDescent="0.3">
      <c r="A707" t="s">
        <v>733</v>
      </c>
      <c r="B707" t="s">
        <v>212</v>
      </c>
      <c r="C707" t="s">
        <v>10</v>
      </c>
      <c r="D707" t="s">
        <v>53</v>
      </c>
      <c r="E707">
        <v>860</v>
      </c>
      <c r="F707" t="s">
        <v>54</v>
      </c>
      <c r="G707">
        <v>526</v>
      </c>
      <c r="H707">
        <v>799</v>
      </c>
      <c r="I707" t="str">
        <f>_xlfn.XLOOKUP($C707,dim_campaigns!$D$2:$D$3,dim_campaigns!$A$2:$A$3,"",0)</f>
        <v>Sankranti</v>
      </c>
      <c r="J707" s="6">
        <f t="shared" ref="J707:J770" si="22">IFERROR((H707-G707)/G707,0)</f>
        <v>0.51901140684410652</v>
      </c>
      <c r="K707">
        <f t="shared" ref="K707:K770" si="23">E707*G707+(E707-IF(F707="500 Cashback",500,IF(F707="BOGOF",E707*50%,IF(F707="25% OFF",E707*25%,IF(F707="33% OFF",E707*33%,IF(F707="50% OFF",E707*50%,0))))))*H707</f>
        <v>912743.8</v>
      </c>
      <c r="L707" t="str">
        <f>VLOOKUP($B707,dim_stores!$A$1:$C$51,2,0)</f>
        <v>Bengaluru</v>
      </c>
    </row>
    <row r="708" spans="1:12" x14ac:dyDescent="0.3">
      <c r="A708" t="s">
        <v>734</v>
      </c>
      <c r="B708" t="s">
        <v>56</v>
      </c>
      <c r="C708" t="s">
        <v>15</v>
      </c>
      <c r="D708" t="s">
        <v>35</v>
      </c>
      <c r="E708">
        <v>350</v>
      </c>
      <c r="F708" t="s">
        <v>21</v>
      </c>
      <c r="G708">
        <v>84</v>
      </c>
      <c r="H708">
        <v>293</v>
      </c>
      <c r="I708" t="str">
        <f>_xlfn.XLOOKUP($C708,dim_campaigns!$D$2:$D$3,dim_campaigns!$A$2:$A$3,"",0)</f>
        <v>Diwali</v>
      </c>
      <c r="J708" s="6">
        <f t="shared" si="22"/>
        <v>2.4880952380952381</v>
      </c>
      <c r="K708">
        <f t="shared" si="23"/>
        <v>80675</v>
      </c>
      <c r="L708" t="str">
        <f>VLOOKUP($B708,dim_stores!$A$1:$C$51,2,0)</f>
        <v>Chennai</v>
      </c>
    </row>
    <row r="709" spans="1:12" x14ac:dyDescent="0.3">
      <c r="A709">
        <v>1271</v>
      </c>
      <c r="B709" t="s">
        <v>9</v>
      </c>
      <c r="C709" t="s">
        <v>10</v>
      </c>
      <c r="D709" t="s">
        <v>35</v>
      </c>
      <c r="E709">
        <v>350</v>
      </c>
      <c r="F709" t="s">
        <v>21</v>
      </c>
      <c r="G709">
        <v>121</v>
      </c>
      <c r="H709">
        <v>500</v>
      </c>
      <c r="I709" t="str">
        <f>_xlfn.XLOOKUP($C709,dim_campaigns!$D$2:$D$3,dim_campaigns!$A$2:$A$3,"",0)</f>
        <v>Sankranti</v>
      </c>
      <c r="J709" s="6">
        <f t="shared" si="22"/>
        <v>3.1322314049586777</v>
      </c>
      <c r="K709">
        <f t="shared" si="23"/>
        <v>129850</v>
      </c>
      <c r="L709" t="str">
        <f>VLOOKUP($B709,dim_stores!$A$1:$C$51,2,0)</f>
        <v>Coimbatore</v>
      </c>
    </row>
    <row r="710" spans="1:12" x14ac:dyDescent="0.3">
      <c r="A710" t="s">
        <v>735</v>
      </c>
      <c r="B710" t="s">
        <v>139</v>
      </c>
      <c r="C710" t="s">
        <v>10</v>
      </c>
      <c r="D710" t="s">
        <v>51</v>
      </c>
      <c r="E710">
        <v>370</v>
      </c>
      <c r="F710" t="s">
        <v>21</v>
      </c>
      <c r="G710">
        <v>265</v>
      </c>
      <c r="H710">
        <v>673</v>
      </c>
      <c r="I710" t="str">
        <f>_xlfn.XLOOKUP($C710,dim_campaigns!$D$2:$D$3,dim_campaigns!$A$2:$A$3,"",0)</f>
        <v>Sankranti</v>
      </c>
      <c r="J710" s="6">
        <f t="shared" si="22"/>
        <v>1.5396226415094341</v>
      </c>
      <c r="K710">
        <f t="shared" si="23"/>
        <v>222555</v>
      </c>
      <c r="L710" t="str">
        <f>VLOOKUP($B710,dim_stores!$A$1:$C$51,2,0)</f>
        <v>Visakhapatnam</v>
      </c>
    </row>
    <row r="711" spans="1:12" x14ac:dyDescent="0.3">
      <c r="A711" t="s">
        <v>736</v>
      </c>
      <c r="B711" t="s">
        <v>45</v>
      </c>
      <c r="C711" t="s">
        <v>10</v>
      </c>
      <c r="D711" t="s">
        <v>51</v>
      </c>
      <c r="E711">
        <v>370</v>
      </c>
      <c r="F711" t="s">
        <v>21</v>
      </c>
      <c r="G711">
        <v>486</v>
      </c>
      <c r="H711">
        <v>1890</v>
      </c>
      <c r="I711" t="str">
        <f>_xlfn.XLOOKUP($C711,dim_campaigns!$D$2:$D$3,dim_campaigns!$A$2:$A$3,"",0)</f>
        <v>Sankranti</v>
      </c>
      <c r="J711" s="6">
        <f t="shared" si="22"/>
        <v>2.8888888888888888</v>
      </c>
      <c r="K711">
        <f t="shared" si="23"/>
        <v>529470</v>
      </c>
      <c r="L711" t="str">
        <f>VLOOKUP($B711,dim_stores!$A$1:$C$51,2,0)</f>
        <v>Hyderabad</v>
      </c>
    </row>
    <row r="712" spans="1:12" x14ac:dyDescent="0.3">
      <c r="A712" t="s">
        <v>737</v>
      </c>
      <c r="B712" t="s">
        <v>174</v>
      </c>
      <c r="C712" t="s">
        <v>10</v>
      </c>
      <c r="D712" t="s">
        <v>48</v>
      </c>
      <c r="E712">
        <v>62</v>
      </c>
      <c r="F712" t="s">
        <v>12</v>
      </c>
      <c r="G712">
        <v>27</v>
      </c>
      <c r="H712">
        <v>38</v>
      </c>
      <c r="I712" t="str">
        <f>_xlfn.XLOOKUP($C712,dim_campaigns!$D$2:$D$3,dim_campaigns!$A$2:$A$3,"",0)</f>
        <v>Sankranti</v>
      </c>
      <c r="J712" s="6">
        <f t="shared" si="22"/>
        <v>0.40740740740740738</v>
      </c>
      <c r="K712">
        <f t="shared" si="23"/>
        <v>2852</v>
      </c>
      <c r="L712" t="str">
        <f>VLOOKUP($B712,dim_stores!$A$1:$C$51,2,0)</f>
        <v>Trivandrum</v>
      </c>
    </row>
    <row r="713" spans="1:12" x14ac:dyDescent="0.3">
      <c r="A713" t="s">
        <v>738</v>
      </c>
      <c r="B713" t="s">
        <v>193</v>
      </c>
      <c r="C713" t="s">
        <v>10</v>
      </c>
      <c r="D713" t="s">
        <v>38</v>
      </c>
      <c r="E713">
        <v>1190</v>
      </c>
      <c r="F713" t="s">
        <v>21</v>
      </c>
      <c r="G713">
        <v>43</v>
      </c>
      <c r="H713">
        <v>166</v>
      </c>
      <c r="I713" t="str">
        <f>_xlfn.XLOOKUP($C713,dim_campaigns!$D$2:$D$3,dim_campaigns!$A$2:$A$3,"",0)</f>
        <v>Sankranti</v>
      </c>
      <c r="J713" s="6">
        <f t="shared" si="22"/>
        <v>2.86046511627907</v>
      </c>
      <c r="K713">
        <f t="shared" si="23"/>
        <v>149940</v>
      </c>
      <c r="L713" t="str">
        <f>VLOOKUP($B713,dim_stores!$A$1:$C$51,2,0)</f>
        <v>Bengaluru</v>
      </c>
    </row>
    <row r="714" spans="1:12" x14ac:dyDescent="0.3">
      <c r="A714" t="s">
        <v>739</v>
      </c>
      <c r="B714" t="s">
        <v>93</v>
      </c>
      <c r="C714" t="s">
        <v>10</v>
      </c>
      <c r="D714" t="s">
        <v>20</v>
      </c>
      <c r="E714">
        <v>300</v>
      </c>
      <c r="F714" t="s">
        <v>21</v>
      </c>
      <c r="G714">
        <v>52</v>
      </c>
      <c r="H714">
        <v>207</v>
      </c>
      <c r="I714" t="str">
        <f>_xlfn.XLOOKUP($C714,dim_campaigns!$D$2:$D$3,dim_campaigns!$A$2:$A$3,"",0)</f>
        <v>Sankranti</v>
      </c>
      <c r="J714" s="6">
        <f t="shared" si="22"/>
        <v>2.9807692307692308</v>
      </c>
      <c r="K714">
        <f t="shared" si="23"/>
        <v>46650</v>
      </c>
      <c r="L714" t="str">
        <f>VLOOKUP($B714,dim_stores!$A$1:$C$51,2,0)</f>
        <v>Bengaluru</v>
      </c>
    </row>
    <row r="715" spans="1:12" x14ac:dyDescent="0.3">
      <c r="A715" t="s">
        <v>740</v>
      </c>
      <c r="B715" t="s">
        <v>47</v>
      </c>
      <c r="C715" t="s">
        <v>10</v>
      </c>
      <c r="D715" t="s">
        <v>20</v>
      </c>
      <c r="E715">
        <v>300</v>
      </c>
      <c r="F715" t="s">
        <v>21</v>
      </c>
      <c r="G715">
        <v>31</v>
      </c>
      <c r="H715">
        <v>123</v>
      </c>
      <c r="I715" t="str">
        <f>_xlfn.XLOOKUP($C715,dim_campaigns!$D$2:$D$3,dim_campaigns!$A$2:$A$3,"",0)</f>
        <v>Sankranti</v>
      </c>
      <c r="J715" s="6">
        <f t="shared" si="22"/>
        <v>2.967741935483871</v>
      </c>
      <c r="K715">
        <f t="shared" si="23"/>
        <v>27750</v>
      </c>
      <c r="L715" t="str">
        <f>VLOOKUP($B715,dim_stores!$A$1:$C$51,2,0)</f>
        <v>Chennai</v>
      </c>
    </row>
    <row r="716" spans="1:12" x14ac:dyDescent="0.3">
      <c r="A716" t="s">
        <v>741</v>
      </c>
      <c r="B716" t="s">
        <v>70</v>
      </c>
      <c r="C716" t="s">
        <v>10</v>
      </c>
      <c r="D716" t="s">
        <v>16</v>
      </c>
      <c r="E716">
        <v>200</v>
      </c>
      <c r="F716" t="s">
        <v>21</v>
      </c>
      <c r="G716">
        <v>387</v>
      </c>
      <c r="H716">
        <v>1695</v>
      </c>
      <c r="I716" t="str">
        <f>_xlfn.XLOOKUP($C716,dim_campaigns!$D$2:$D$3,dim_campaigns!$A$2:$A$3,"",0)</f>
        <v>Sankranti</v>
      </c>
      <c r="J716" s="6">
        <f t="shared" si="22"/>
        <v>3.3798449612403099</v>
      </c>
      <c r="K716">
        <f t="shared" si="23"/>
        <v>246900</v>
      </c>
      <c r="L716" t="str">
        <f>VLOOKUP($B716,dim_stores!$A$1:$C$51,2,0)</f>
        <v>Chennai</v>
      </c>
    </row>
    <row r="717" spans="1:12" x14ac:dyDescent="0.3">
      <c r="A717" t="s">
        <v>742</v>
      </c>
      <c r="B717" t="s">
        <v>93</v>
      </c>
      <c r="C717" t="s">
        <v>15</v>
      </c>
      <c r="D717" t="s">
        <v>68</v>
      </c>
      <c r="E717">
        <v>1020</v>
      </c>
      <c r="F717" t="s">
        <v>21</v>
      </c>
      <c r="G717">
        <v>43</v>
      </c>
      <c r="H717">
        <v>144</v>
      </c>
      <c r="I717" t="str">
        <f>_xlfn.XLOOKUP($C717,dim_campaigns!$D$2:$D$3,dim_campaigns!$A$2:$A$3,"",0)</f>
        <v>Diwali</v>
      </c>
      <c r="J717" s="6">
        <f t="shared" si="22"/>
        <v>2.3488372093023258</v>
      </c>
      <c r="K717">
        <f t="shared" si="23"/>
        <v>117300</v>
      </c>
      <c r="L717" t="str">
        <f>VLOOKUP($B717,dim_stores!$A$1:$C$51,2,0)</f>
        <v>Bengaluru</v>
      </c>
    </row>
    <row r="718" spans="1:12" x14ac:dyDescent="0.3">
      <c r="A718" t="s">
        <v>743</v>
      </c>
      <c r="B718" t="s">
        <v>70</v>
      </c>
      <c r="C718" t="s">
        <v>15</v>
      </c>
      <c r="D718" t="s">
        <v>85</v>
      </c>
      <c r="E718">
        <v>110</v>
      </c>
      <c r="F718" t="s">
        <v>12</v>
      </c>
      <c r="G718">
        <v>87</v>
      </c>
      <c r="H718">
        <v>115</v>
      </c>
      <c r="I718" t="str">
        <f>_xlfn.XLOOKUP($C718,dim_campaigns!$D$2:$D$3,dim_campaigns!$A$2:$A$3,"",0)</f>
        <v>Diwali</v>
      </c>
      <c r="J718" s="6">
        <f t="shared" si="22"/>
        <v>0.32183908045977011</v>
      </c>
      <c r="K718">
        <f t="shared" si="23"/>
        <v>15895</v>
      </c>
      <c r="L718" t="str">
        <f>VLOOKUP($B718,dim_stores!$A$1:$C$51,2,0)</f>
        <v>Chennai</v>
      </c>
    </row>
    <row r="719" spans="1:12" x14ac:dyDescent="0.3">
      <c r="A719" t="s">
        <v>744</v>
      </c>
      <c r="B719" t="s">
        <v>34</v>
      </c>
      <c r="C719" t="s">
        <v>15</v>
      </c>
      <c r="D719" t="s">
        <v>68</v>
      </c>
      <c r="E719">
        <v>1020</v>
      </c>
      <c r="F719" t="s">
        <v>21</v>
      </c>
      <c r="G719">
        <v>52</v>
      </c>
      <c r="H719">
        <v>176</v>
      </c>
      <c r="I719" t="str">
        <f>_xlfn.XLOOKUP($C719,dim_campaigns!$D$2:$D$3,dim_campaigns!$A$2:$A$3,"",0)</f>
        <v>Diwali</v>
      </c>
      <c r="J719" s="6">
        <f t="shared" si="22"/>
        <v>2.3846153846153846</v>
      </c>
      <c r="K719">
        <f t="shared" si="23"/>
        <v>142800</v>
      </c>
      <c r="L719" t="str">
        <f>VLOOKUP($B719,dim_stores!$A$1:$C$51,2,0)</f>
        <v>Hyderabad</v>
      </c>
    </row>
    <row r="720" spans="1:12" x14ac:dyDescent="0.3">
      <c r="A720" s="1">
        <v>6.1999999999999998E+94</v>
      </c>
      <c r="B720" t="s">
        <v>78</v>
      </c>
      <c r="C720" t="s">
        <v>10</v>
      </c>
      <c r="D720" t="s">
        <v>38</v>
      </c>
      <c r="E720">
        <v>1190</v>
      </c>
      <c r="F720" t="s">
        <v>21</v>
      </c>
      <c r="G720">
        <v>48</v>
      </c>
      <c r="H720">
        <v>129</v>
      </c>
      <c r="I720" t="str">
        <f>_xlfn.XLOOKUP($C720,dim_campaigns!$D$2:$D$3,dim_campaigns!$A$2:$A$3,"",0)</f>
        <v>Sankranti</v>
      </c>
      <c r="J720" s="6">
        <f t="shared" si="22"/>
        <v>1.6875</v>
      </c>
      <c r="K720">
        <f t="shared" si="23"/>
        <v>133875</v>
      </c>
      <c r="L720" t="str">
        <f>VLOOKUP($B720,dim_stores!$A$1:$C$51,2,0)</f>
        <v>Mysuru</v>
      </c>
    </row>
    <row r="721" spans="1:12" x14ac:dyDescent="0.3">
      <c r="A721">
        <v>315542</v>
      </c>
      <c r="B721" t="s">
        <v>89</v>
      </c>
      <c r="C721" t="s">
        <v>10</v>
      </c>
      <c r="D721" t="s">
        <v>16</v>
      </c>
      <c r="E721">
        <v>200</v>
      </c>
      <c r="F721" t="s">
        <v>21</v>
      </c>
      <c r="G721">
        <v>183</v>
      </c>
      <c r="H721">
        <v>710</v>
      </c>
      <c r="I721" t="str">
        <f>_xlfn.XLOOKUP($C721,dim_campaigns!$D$2:$D$3,dim_campaigns!$A$2:$A$3,"",0)</f>
        <v>Sankranti</v>
      </c>
      <c r="J721" s="6">
        <f t="shared" si="22"/>
        <v>2.8797814207650272</v>
      </c>
      <c r="K721">
        <f t="shared" si="23"/>
        <v>107600</v>
      </c>
      <c r="L721" t="str">
        <f>VLOOKUP($B721,dim_stores!$A$1:$C$51,2,0)</f>
        <v>Vijayawada</v>
      </c>
    </row>
    <row r="722" spans="1:12" x14ac:dyDescent="0.3">
      <c r="A722" t="s">
        <v>745</v>
      </c>
      <c r="B722" t="s">
        <v>23</v>
      </c>
      <c r="C722" t="s">
        <v>10</v>
      </c>
      <c r="D722" t="s">
        <v>48</v>
      </c>
      <c r="E722">
        <v>62</v>
      </c>
      <c r="F722" t="s">
        <v>12</v>
      </c>
      <c r="G722">
        <v>42</v>
      </c>
      <c r="H722">
        <v>48</v>
      </c>
      <c r="I722" t="str">
        <f>_xlfn.XLOOKUP($C722,dim_campaigns!$D$2:$D$3,dim_campaigns!$A$2:$A$3,"",0)</f>
        <v>Sankranti</v>
      </c>
      <c r="J722" s="6">
        <f t="shared" si="22"/>
        <v>0.14285714285714285</v>
      </c>
      <c r="K722">
        <f t="shared" si="23"/>
        <v>4092</v>
      </c>
      <c r="L722" t="str">
        <f>VLOOKUP($B722,dim_stores!$A$1:$C$51,2,0)</f>
        <v>Coimbatore</v>
      </c>
    </row>
    <row r="723" spans="1:12" x14ac:dyDescent="0.3">
      <c r="A723" t="s">
        <v>746</v>
      </c>
      <c r="B723" t="s">
        <v>212</v>
      </c>
      <c r="C723" t="s">
        <v>15</v>
      </c>
      <c r="D723" t="s">
        <v>20</v>
      </c>
      <c r="E723">
        <v>300</v>
      </c>
      <c r="F723" t="s">
        <v>21</v>
      </c>
      <c r="G723">
        <v>64</v>
      </c>
      <c r="H723">
        <v>254</v>
      </c>
      <c r="I723" t="str">
        <f>_xlfn.XLOOKUP($C723,dim_campaigns!$D$2:$D$3,dim_campaigns!$A$2:$A$3,"",0)</f>
        <v>Diwali</v>
      </c>
      <c r="J723" s="6">
        <f t="shared" si="22"/>
        <v>2.96875</v>
      </c>
      <c r="K723">
        <f t="shared" si="23"/>
        <v>57300</v>
      </c>
      <c r="L723" t="str">
        <f>VLOOKUP($B723,dim_stores!$A$1:$C$51,2,0)</f>
        <v>Bengaluru</v>
      </c>
    </row>
    <row r="724" spans="1:12" x14ac:dyDescent="0.3">
      <c r="A724" t="s">
        <v>747</v>
      </c>
      <c r="B724" t="s">
        <v>65</v>
      </c>
      <c r="C724" t="s">
        <v>15</v>
      </c>
      <c r="D724" t="s">
        <v>61</v>
      </c>
      <c r="E724">
        <v>172</v>
      </c>
      <c r="F724" t="s">
        <v>54</v>
      </c>
      <c r="G724">
        <v>337</v>
      </c>
      <c r="H724">
        <v>485</v>
      </c>
      <c r="I724" t="str">
        <f>_xlfn.XLOOKUP($C724,dim_campaigns!$D$2:$D$3,dim_campaigns!$A$2:$A$3,"",0)</f>
        <v>Diwali</v>
      </c>
      <c r="J724" s="6">
        <f t="shared" si="22"/>
        <v>0.43916913946587538</v>
      </c>
      <c r="K724">
        <f t="shared" si="23"/>
        <v>113855.4</v>
      </c>
      <c r="L724" t="str">
        <f>VLOOKUP($B724,dim_stores!$A$1:$C$51,2,0)</f>
        <v>Hyderabad</v>
      </c>
    </row>
    <row r="725" spans="1:12" x14ac:dyDescent="0.3">
      <c r="A725" t="s">
        <v>748</v>
      </c>
      <c r="B725" t="s">
        <v>52</v>
      </c>
      <c r="C725" t="s">
        <v>15</v>
      </c>
      <c r="D725" t="s">
        <v>68</v>
      </c>
      <c r="E725">
        <v>1020</v>
      </c>
      <c r="F725" t="s">
        <v>21</v>
      </c>
      <c r="G725">
        <v>38</v>
      </c>
      <c r="H725">
        <v>114</v>
      </c>
      <c r="I725" t="str">
        <f>_xlfn.XLOOKUP($C725,dim_campaigns!$D$2:$D$3,dim_campaigns!$A$2:$A$3,"",0)</f>
        <v>Diwali</v>
      </c>
      <c r="J725" s="6">
        <f t="shared" si="22"/>
        <v>2</v>
      </c>
      <c r="K725">
        <f t="shared" si="23"/>
        <v>96900</v>
      </c>
      <c r="L725" t="str">
        <f>VLOOKUP($B725,dim_stores!$A$1:$C$51,2,0)</f>
        <v>Visakhapatnam</v>
      </c>
    </row>
    <row r="726" spans="1:12" x14ac:dyDescent="0.3">
      <c r="A726" t="s">
        <v>749</v>
      </c>
      <c r="B726" t="s">
        <v>42</v>
      </c>
      <c r="C726" t="s">
        <v>10</v>
      </c>
      <c r="D726" t="s">
        <v>85</v>
      </c>
      <c r="E726">
        <v>90</v>
      </c>
      <c r="F726" t="s">
        <v>17</v>
      </c>
      <c r="G726">
        <v>61</v>
      </c>
      <c r="H726">
        <v>50</v>
      </c>
      <c r="I726" t="str">
        <f>_xlfn.XLOOKUP($C726,dim_campaigns!$D$2:$D$3,dim_campaigns!$A$2:$A$3,"",0)</f>
        <v>Sankranti</v>
      </c>
      <c r="J726" s="6">
        <f t="shared" si="22"/>
        <v>-0.18032786885245902</v>
      </c>
      <c r="K726">
        <f t="shared" si="23"/>
        <v>8865</v>
      </c>
      <c r="L726" t="str">
        <f>VLOOKUP($B726,dim_stores!$A$1:$C$51,2,0)</f>
        <v>Mysuru</v>
      </c>
    </row>
    <row r="727" spans="1:12" x14ac:dyDescent="0.3">
      <c r="A727" t="s">
        <v>750</v>
      </c>
      <c r="B727" t="s">
        <v>14</v>
      </c>
      <c r="C727" t="s">
        <v>15</v>
      </c>
      <c r="D727" t="s">
        <v>38</v>
      </c>
      <c r="E727">
        <v>1190</v>
      </c>
      <c r="F727" t="s">
        <v>21</v>
      </c>
      <c r="G727">
        <v>64</v>
      </c>
      <c r="H727">
        <v>218</v>
      </c>
      <c r="I727" t="str">
        <f>_xlfn.XLOOKUP($C727,dim_campaigns!$D$2:$D$3,dim_campaigns!$A$2:$A$3,"",0)</f>
        <v>Diwali</v>
      </c>
      <c r="J727" s="6">
        <f t="shared" si="22"/>
        <v>2.40625</v>
      </c>
      <c r="K727">
        <f t="shared" si="23"/>
        <v>205870</v>
      </c>
      <c r="L727" t="str">
        <f>VLOOKUP($B727,dim_stores!$A$1:$C$51,2,0)</f>
        <v>Bengaluru</v>
      </c>
    </row>
    <row r="728" spans="1:12" x14ac:dyDescent="0.3">
      <c r="A728" t="s">
        <v>751</v>
      </c>
      <c r="B728" t="s">
        <v>123</v>
      </c>
      <c r="C728" t="s">
        <v>15</v>
      </c>
      <c r="D728" t="s">
        <v>85</v>
      </c>
      <c r="E728">
        <v>110</v>
      </c>
      <c r="F728" t="s">
        <v>12</v>
      </c>
      <c r="G728">
        <v>73</v>
      </c>
      <c r="H728">
        <v>95</v>
      </c>
      <c r="I728" t="str">
        <f>_xlfn.XLOOKUP($C728,dim_campaigns!$D$2:$D$3,dim_campaigns!$A$2:$A$3,"",0)</f>
        <v>Diwali</v>
      </c>
      <c r="J728" s="6">
        <f t="shared" si="22"/>
        <v>0.30136986301369861</v>
      </c>
      <c r="K728">
        <f t="shared" si="23"/>
        <v>13255</v>
      </c>
      <c r="L728" t="str">
        <f>VLOOKUP($B728,dim_stores!$A$1:$C$51,2,0)</f>
        <v>Bengaluru</v>
      </c>
    </row>
    <row r="729" spans="1:12" x14ac:dyDescent="0.3">
      <c r="A729" t="s">
        <v>752</v>
      </c>
      <c r="B729" t="s">
        <v>91</v>
      </c>
      <c r="C729" t="s">
        <v>15</v>
      </c>
      <c r="D729" t="s">
        <v>24</v>
      </c>
      <c r="E729">
        <v>3000</v>
      </c>
      <c r="F729" t="s">
        <v>25</v>
      </c>
      <c r="G729">
        <v>418</v>
      </c>
      <c r="H729">
        <v>1082</v>
      </c>
      <c r="I729" t="str">
        <f>_xlfn.XLOOKUP($C729,dim_campaigns!$D$2:$D$3,dim_campaigns!$A$2:$A$3,"",0)</f>
        <v>Diwali</v>
      </c>
      <c r="J729" s="6">
        <f t="shared" si="22"/>
        <v>1.5885167464114833</v>
      </c>
      <c r="K729">
        <f t="shared" si="23"/>
        <v>3959000</v>
      </c>
      <c r="L729" t="str">
        <f>VLOOKUP($B729,dim_stores!$A$1:$C$51,2,0)</f>
        <v>Hyderabad</v>
      </c>
    </row>
    <row r="730" spans="1:12" x14ac:dyDescent="0.3">
      <c r="A730" t="s">
        <v>753</v>
      </c>
      <c r="B730" t="s">
        <v>67</v>
      </c>
      <c r="C730" t="s">
        <v>10</v>
      </c>
      <c r="D730" t="s">
        <v>24</v>
      </c>
      <c r="E730">
        <v>3000</v>
      </c>
      <c r="F730" t="s">
        <v>25</v>
      </c>
      <c r="G730">
        <v>144</v>
      </c>
      <c r="H730">
        <v>374</v>
      </c>
      <c r="I730" t="str">
        <f>_xlfn.XLOOKUP($C730,dim_campaigns!$D$2:$D$3,dim_campaigns!$A$2:$A$3,"",0)</f>
        <v>Sankranti</v>
      </c>
      <c r="J730" s="6">
        <f t="shared" si="22"/>
        <v>1.5972222222222223</v>
      </c>
      <c r="K730">
        <f t="shared" si="23"/>
        <v>1367000</v>
      </c>
      <c r="L730" t="str">
        <f>VLOOKUP($B730,dim_stores!$A$1:$C$51,2,0)</f>
        <v>Bengaluru</v>
      </c>
    </row>
    <row r="731" spans="1:12" x14ac:dyDescent="0.3">
      <c r="A731" t="s">
        <v>754</v>
      </c>
      <c r="B731" t="s">
        <v>29</v>
      </c>
      <c r="C731" t="s">
        <v>10</v>
      </c>
      <c r="D731" t="s">
        <v>48</v>
      </c>
      <c r="E731">
        <v>62</v>
      </c>
      <c r="F731" t="s">
        <v>12</v>
      </c>
      <c r="G731">
        <v>64</v>
      </c>
      <c r="H731">
        <v>92</v>
      </c>
      <c r="I731" t="str">
        <f>_xlfn.XLOOKUP($C731,dim_campaigns!$D$2:$D$3,dim_campaigns!$A$2:$A$3,"",0)</f>
        <v>Sankranti</v>
      </c>
      <c r="J731" s="6">
        <f t="shared" si="22"/>
        <v>0.4375</v>
      </c>
      <c r="K731">
        <f t="shared" si="23"/>
        <v>6820</v>
      </c>
      <c r="L731" t="str">
        <f>VLOOKUP($B731,dim_stores!$A$1:$C$51,2,0)</f>
        <v>Bengaluru</v>
      </c>
    </row>
    <row r="732" spans="1:12" x14ac:dyDescent="0.3">
      <c r="A732">
        <v>74657</v>
      </c>
      <c r="B732" t="s">
        <v>126</v>
      </c>
      <c r="C732" t="s">
        <v>15</v>
      </c>
      <c r="D732" t="s">
        <v>53</v>
      </c>
      <c r="E732">
        <v>860</v>
      </c>
      <c r="F732" t="s">
        <v>54</v>
      </c>
      <c r="G732">
        <v>194</v>
      </c>
      <c r="H732">
        <v>271</v>
      </c>
      <c r="I732" t="str">
        <f>_xlfn.XLOOKUP($C732,dim_campaigns!$D$2:$D$3,dim_campaigns!$A$2:$A$3,"",0)</f>
        <v>Diwali</v>
      </c>
      <c r="J732" s="6">
        <f t="shared" si="22"/>
        <v>0.39690721649484534</v>
      </c>
      <c r="K732">
        <f t="shared" si="23"/>
        <v>322990.2</v>
      </c>
      <c r="L732" t="str">
        <f>VLOOKUP($B732,dim_stores!$A$1:$C$51,2,0)</f>
        <v>Mangalore</v>
      </c>
    </row>
    <row r="733" spans="1:12" x14ac:dyDescent="0.3">
      <c r="A733" t="s">
        <v>755</v>
      </c>
      <c r="B733" t="s">
        <v>52</v>
      </c>
      <c r="C733" t="s">
        <v>15</v>
      </c>
      <c r="D733" t="s">
        <v>35</v>
      </c>
      <c r="E733">
        <v>350</v>
      </c>
      <c r="F733" t="s">
        <v>21</v>
      </c>
      <c r="G733">
        <v>61</v>
      </c>
      <c r="H733">
        <v>178</v>
      </c>
      <c r="I733" t="str">
        <f>_xlfn.XLOOKUP($C733,dim_campaigns!$D$2:$D$3,dim_campaigns!$A$2:$A$3,"",0)</f>
        <v>Diwali</v>
      </c>
      <c r="J733" s="6">
        <f t="shared" si="22"/>
        <v>1.9180327868852458</v>
      </c>
      <c r="K733">
        <f t="shared" si="23"/>
        <v>52500</v>
      </c>
      <c r="L733" t="str">
        <f>VLOOKUP($B733,dim_stores!$A$1:$C$51,2,0)</f>
        <v>Visakhapatnam</v>
      </c>
    </row>
    <row r="734" spans="1:12" x14ac:dyDescent="0.3">
      <c r="A734" t="s">
        <v>756</v>
      </c>
      <c r="B734" t="s">
        <v>93</v>
      </c>
      <c r="C734" t="s">
        <v>15</v>
      </c>
      <c r="D734" t="s">
        <v>32</v>
      </c>
      <c r="E734">
        <v>65</v>
      </c>
      <c r="F734" t="s">
        <v>12</v>
      </c>
      <c r="G734">
        <v>115</v>
      </c>
      <c r="H734">
        <v>151</v>
      </c>
      <c r="I734" t="str">
        <f>_xlfn.XLOOKUP($C734,dim_campaigns!$D$2:$D$3,dim_campaigns!$A$2:$A$3,"",0)</f>
        <v>Diwali</v>
      </c>
      <c r="J734" s="6">
        <f t="shared" si="22"/>
        <v>0.31304347826086959</v>
      </c>
      <c r="K734">
        <f t="shared" si="23"/>
        <v>12382.5</v>
      </c>
      <c r="L734" t="str">
        <f>VLOOKUP($B734,dim_stores!$A$1:$C$51,2,0)</f>
        <v>Bengaluru</v>
      </c>
    </row>
    <row r="735" spans="1:12" x14ac:dyDescent="0.3">
      <c r="A735" t="s">
        <v>757</v>
      </c>
      <c r="B735" t="s">
        <v>103</v>
      </c>
      <c r="C735" t="s">
        <v>10</v>
      </c>
      <c r="D735" t="s">
        <v>51</v>
      </c>
      <c r="E735">
        <v>370</v>
      </c>
      <c r="F735" t="s">
        <v>21</v>
      </c>
      <c r="G735">
        <v>444</v>
      </c>
      <c r="H735">
        <v>1123</v>
      </c>
      <c r="I735" t="str">
        <f>_xlfn.XLOOKUP($C735,dim_campaigns!$D$2:$D$3,dim_campaigns!$A$2:$A$3,"",0)</f>
        <v>Sankranti</v>
      </c>
      <c r="J735" s="6">
        <f t="shared" si="22"/>
        <v>1.5292792792792793</v>
      </c>
      <c r="K735">
        <f t="shared" si="23"/>
        <v>372035</v>
      </c>
      <c r="L735" t="str">
        <f>VLOOKUP($B735,dim_stores!$A$1:$C$51,2,0)</f>
        <v>Hyderabad</v>
      </c>
    </row>
    <row r="736" spans="1:12" x14ac:dyDescent="0.3">
      <c r="A736" t="s">
        <v>758</v>
      </c>
      <c r="B736" t="s">
        <v>27</v>
      </c>
      <c r="C736" t="s">
        <v>15</v>
      </c>
      <c r="D736" t="s">
        <v>16</v>
      </c>
      <c r="E736">
        <v>156</v>
      </c>
      <c r="F736" t="s">
        <v>17</v>
      </c>
      <c r="G736">
        <v>402</v>
      </c>
      <c r="H736">
        <v>353</v>
      </c>
      <c r="I736" t="str">
        <f>_xlfn.XLOOKUP($C736,dim_campaigns!$D$2:$D$3,dim_campaigns!$A$2:$A$3,"",0)</f>
        <v>Diwali</v>
      </c>
      <c r="J736" s="6">
        <f t="shared" si="22"/>
        <v>-0.12189054726368159</v>
      </c>
      <c r="K736">
        <f t="shared" si="23"/>
        <v>104013</v>
      </c>
      <c r="L736" t="str">
        <f>VLOOKUP($B736,dim_stores!$A$1:$C$51,2,0)</f>
        <v>Bengaluru</v>
      </c>
    </row>
    <row r="737" spans="1:12" x14ac:dyDescent="0.3">
      <c r="A737" t="s">
        <v>759</v>
      </c>
      <c r="B737" t="s">
        <v>34</v>
      </c>
      <c r="C737" t="s">
        <v>15</v>
      </c>
      <c r="D737" t="s">
        <v>11</v>
      </c>
      <c r="E737">
        <v>190</v>
      </c>
      <c r="F737" t="s">
        <v>12</v>
      </c>
      <c r="G737">
        <v>82</v>
      </c>
      <c r="H737">
        <v>107</v>
      </c>
      <c r="I737" t="str">
        <f>_xlfn.XLOOKUP($C737,dim_campaigns!$D$2:$D$3,dim_campaigns!$A$2:$A$3,"",0)</f>
        <v>Diwali</v>
      </c>
      <c r="J737" s="6">
        <f t="shared" si="22"/>
        <v>0.3048780487804878</v>
      </c>
      <c r="K737">
        <f t="shared" si="23"/>
        <v>25745</v>
      </c>
      <c r="L737" t="str">
        <f>VLOOKUP($B737,dim_stores!$A$1:$C$51,2,0)</f>
        <v>Hyderabad</v>
      </c>
    </row>
    <row r="738" spans="1:12" x14ac:dyDescent="0.3">
      <c r="A738" t="s">
        <v>760</v>
      </c>
      <c r="B738" t="s">
        <v>37</v>
      </c>
      <c r="C738" t="s">
        <v>10</v>
      </c>
      <c r="D738" t="s">
        <v>11</v>
      </c>
      <c r="E738">
        <v>190</v>
      </c>
      <c r="F738" t="s">
        <v>12</v>
      </c>
      <c r="G738">
        <v>28</v>
      </c>
      <c r="H738">
        <v>39</v>
      </c>
      <c r="I738" t="str">
        <f>_xlfn.XLOOKUP($C738,dim_campaigns!$D$2:$D$3,dim_campaigns!$A$2:$A$3,"",0)</f>
        <v>Sankranti</v>
      </c>
      <c r="J738" s="6">
        <f t="shared" si="22"/>
        <v>0.39285714285714285</v>
      </c>
      <c r="K738">
        <f t="shared" si="23"/>
        <v>9025</v>
      </c>
      <c r="L738" t="str">
        <f>VLOOKUP($B738,dim_stores!$A$1:$C$51,2,0)</f>
        <v>Coimbatore</v>
      </c>
    </row>
    <row r="739" spans="1:12" x14ac:dyDescent="0.3">
      <c r="A739" t="s">
        <v>761</v>
      </c>
      <c r="B739" t="s">
        <v>40</v>
      </c>
      <c r="C739" t="s">
        <v>10</v>
      </c>
      <c r="D739" t="s">
        <v>48</v>
      </c>
      <c r="E739">
        <v>62</v>
      </c>
      <c r="F739" t="s">
        <v>12</v>
      </c>
      <c r="G739">
        <v>36</v>
      </c>
      <c r="H739">
        <v>42</v>
      </c>
      <c r="I739" t="str">
        <f>_xlfn.XLOOKUP($C739,dim_campaigns!$D$2:$D$3,dim_campaigns!$A$2:$A$3,"",0)</f>
        <v>Sankranti</v>
      </c>
      <c r="J739" s="6">
        <f t="shared" si="22"/>
        <v>0.16666666666666666</v>
      </c>
      <c r="K739">
        <f t="shared" si="23"/>
        <v>3534</v>
      </c>
      <c r="L739" t="str">
        <f>VLOOKUP($B739,dim_stores!$A$1:$C$51,2,0)</f>
        <v>Madurai</v>
      </c>
    </row>
    <row r="740" spans="1:12" x14ac:dyDescent="0.3">
      <c r="A740" t="s">
        <v>762</v>
      </c>
      <c r="B740" t="s">
        <v>60</v>
      </c>
      <c r="C740" t="s">
        <v>15</v>
      </c>
      <c r="D740" t="s">
        <v>11</v>
      </c>
      <c r="E740">
        <v>190</v>
      </c>
      <c r="F740" t="s">
        <v>12</v>
      </c>
      <c r="G740">
        <v>33</v>
      </c>
      <c r="H740">
        <v>42</v>
      </c>
      <c r="I740" t="str">
        <f>_xlfn.XLOOKUP($C740,dim_campaigns!$D$2:$D$3,dim_campaigns!$A$2:$A$3,"",0)</f>
        <v>Diwali</v>
      </c>
      <c r="J740" s="6">
        <f t="shared" si="22"/>
        <v>0.27272727272727271</v>
      </c>
      <c r="K740">
        <f t="shared" si="23"/>
        <v>10260</v>
      </c>
      <c r="L740" t="str">
        <f>VLOOKUP($B740,dim_stores!$A$1:$C$51,2,0)</f>
        <v>Trivandrum</v>
      </c>
    </row>
    <row r="741" spans="1:12" x14ac:dyDescent="0.3">
      <c r="A741" t="s">
        <v>763</v>
      </c>
      <c r="B741" t="s">
        <v>29</v>
      </c>
      <c r="C741" t="s">
        <v>10</v>
      </c>
      <c r="D741" t="s">
        <v>53</v>
      </c>
      <c r="E741">
        <v>860</v>
      </c>
      <c r="F741" t="s">
        <v>54</v>
      </c>
      <c r="G741">
        <v>501</v>
      </c>
      <c r="H741">
        <v>701</v>
      </c>
      <c r="I741" t="str">
        <f>_xlfn.XLOOKUP($C741,dim_campaigns!$D$2:$D$3,dim_campaigns!$A$2:$A$3,"",0)</f>
        <v>Sankranti</v>
      </c>
      <c r="J741" s="6">
        <f t="shared" si="22"/>
        <v>0.39920159680638723</v>
      </c>
      <c r="K741">
        <f t="shared" si="23"/>
        <v>834776.2</v>
      </c>
      <c r="L741" t="str">
        <f>VLOOKUP($B741,dim_stores!$A$1:$C$51,2,0)</f>
        <v>Bengaluru</v>
      </c>
    </row>
    <row r="742" spans="1:12" x14ac:dyDescent="0.3">
      <c r="A742" t="s">
        <v>764</v>
      </c>
      <c r="B742" t="s">
        <v>31</v>
      </c>
      <c r="C742" t="s">
        <v>10</v>
      </c>
      <c r="D742" t="s">
        <v>20</v>
      </c>
      <c r="E742">
        <v>300</v>
      </c>
      <c r="F742" t="s">
        <v>21</v>
      </c>
      <c r="G742">
        <v>24</v>
      </c>
      <c r="H742">
        <v>93</v>
      </c>
      <c r="I742" t="str">
        <f>_xlfn.XLOOKUP($C742,dim_campaigns!$D$2:$D$3,dim_campaigns!$A$2:$A$3,"",0)</f>
        <v>Sankranti</v>
      </c>
      <c r="J742" s="6">
        <f t="shared" si="22"/>
        <v>2.875</v>
      </c>
      <c r="K742">
        <f t="shared" si="23"/>
        <v>21150</v>
      </c>
      <c r="L742" t="str">
        <f>VLOOKUP($B742,dim_stores!$A$1:$C$51,2,0)</f>
        <v>Visakhapatnam</v>
      </c>
    </row>
    <row r="743" spans="1:12" x14ac:dyDescent="0.3">
      <c r="A743" t="s">
        <v>765</v>
      </c>
      <c r="B743" t="s">
        <v>37</v>
      </c>
      <c r="C743" t="s">
        <v>15</v>
      </c>
      <c r="D743" t="s">
        <v>28</v>
      </c>
      <c r="E743">
        <v>55</v>
      </c>
      <c r="F743" t="s">
        <v>17</v>
      </c>
      <c r="G743">
        <v>101</v>
      </c>
      <c r="H743">
        <v>89</v>
      </c>
      <c r="I743" t="str">
        <f>_xlfn.XLOOKUP($C743,dim_campaigns!$D$2:$D$3,dim_campaigns!$A$2:$A$3,"",0)</f>
        <v>Diwali</v>
      </c>
      <c r="J743" s="6">
        <f t="shared" si="22"/>
        <v>-0.11881188118811881</v>
      </c>
      <c r="K743">
        <f t="shared" si="23"/>
        <v>9226.25</v>
      </c>
      <c r="L743" t="str">
        <f>VLOOKUP($B743,dim_stores!$A$1:$C$51,2,0)</f>
        <v>Coimbatore</v>
      </c>
    </row>
    <row r="744" spans="1:12" x14ac:dyDescent="0.3">
      <c r="A744" t="s">
        <v>766</v>
      </c>
      <c r="B744" t="s">
        <v>123</v>
      </c>
      <c r="C744" t="s">
        <v>10</v>
      </c>
      <c r="D744" t="s">
        <v>51</v>
      </c>
      <c r="E744">
        <v>370</v>
      </c>
      <c r="F744" t="s">
        <v>21</v>
      </c>
      <c r="G744">
        <v>413</v>
      </c>
      <c r="H744">
        <v>1102</v>
      </c>
      <c r="I744" t="str">
        <f>_xlfn.XLOOKUP($C744,dim_campaigns!$D$2:$D$3,dim_campaigns!$A$2:$A$3,"",0)</f>
        <v>Sankranti</v>
      </c>
      <c r="J744" s="6">
        <f t="shared" si="22"/>
        <v>1.6682808716707023</v>
      </c>
      <c r="K744">
        <f t="shared" si="23"/>
        <v>356680</v>
      </c>
      <c r="L744" t="str">
        <f>VLOOKUP($B744,dim_stores!$A$1:$C$51,2,0)</f>
        <v>Bengaluru</v>
      </c>
    </row>
    <row r="745" spans="1:12" x14ac:dyDescent="0.3">
      <c r="A745" t="s">
        <v>767</v>
      </c>
      <c r="B745" t="s">
        <v>67</v>
      </c>
      <c r="C745" t="s">
        <v>10</v>
      </c>
      <c r="D745" t="s">
        <v>53</v>
      </c>
      <c r="E745">
        <v>860</v>
      </c>
      <c r="F745" t="s">
        <v>54</v>
      </c>
      <c r="G745">
        <v>451</v>
      </c>
      <c r="H745">
        <v>613</v>
      </c>
      <c r="I745" t="str">
        <f>_xlfn.XLOOKUP($C745,dim_campaigns!$D$2:$D$3,dim_campaigns!$A$2:$A$3,"",0)</f>
        <v>Sankranti</v>
      </c>
      <c r="J745" s="6">
        <f t="shared" si="22"/>
        <v>0.35920177383592017</v>
      </c>
      <c r="K745">
        <f t="shared" si="23"/>
        <v>741070.60000000009</v>
      </c>
      <c r="L745" t="str">
        <f>VLOOKUP($B745,dim_stores!$A$1:$C$51,2,0)</f>
        <v>Bengaluru</v>
      </c>
    </row>
    <row r="746" spans="1:12" x14ac:dyDescent="0.3">
      <c r="A746" t="s">
        <v>768</v>
      </c>
      <c r="B746" t="s">
        <v>40</v>
      </c>
      <c r="C746" t="s">
        <v>15</v>
      </c>
      <c r="D746" t="s">
        <v>28</v>
      </c>
      <c r="E746">
        <v>55</v>
      </c>
      <c r="F746" t="s">
        <v>17</v>
      </c>
      <c r="G746">
        <v>80</v>
      </c>
      <c r="H746">
        <v>70</v>
      </c>
      <c r="I746" t="str">
        <f>_xlfn.XLOOKUP($C746,dim_campaigns!$D$2:$D$3,dim_campaigns!$A$2:$A$3,"",0)</f>
        <v>Diwali</v>
      </c>
      <c r="J746" s="6">
        <f t="shared" si="22"/>
        <v>-0.125</v>
      </c>
      <c r="K746">
        <f t="shared" si="23"/>
        <v>7287.5</v>
      </c>
      <c r="L746" t="str">
        <f>VLOOKUP($B746,dim_stores!$A$1:$C$51,2,0)</f>
        <v>Madurai</v>
      </c>
    </row>
    <row r="747" spans="1:12" x14ac:dyDescent="0.3">
      <c r="A747" t="s">
        <v>769</v>
      </c>
      <c r="B747" t="s">
        <v>27</v>
      </c>
      <c r="C747" t="s">
        <v>15</v>
      </c>
      <c r="D747" t="s">
        <v>35</v>
      </c>
      <c r="E747">
        <v>350</v>
      </c>
      <c r="F747" t="s">
        <v>21</v>
      </c>
      <c r="G747">
        <v>98</v>
      </c>
      <c r="H747">
        <v>372</v>
      </c>
      <c r="I747" t="str">
        <f>_xlfn.XLOOKUP($C747,dim_campaigns!$D$2:$D$3,dim_campaigns!$A$2:$A$3,"",0)</f>
        <v>Diwali</v>
      </c>
      <c r="J747" s="6">
        <f t="shared" si="22"/>
        <v>2.795918367346939</v>
      </c>
      <c r="K747">
        <f t="shared" si="23"/>
        <v>99400</v>
      </c>
      <c r="L747" t="str">
        <f>VLOOKUP($B747,dim_stores!$A$1:$C$51,2,0)</f>
        <v>Bengaluru</v>
      </c>
    </row>
    <row r="748" spans="1:12" x14ac:dyDescent="0.3">
      <c r="A748" t="s">
        <v>770</v>
      </c>
      <c r="B748" t="s">
        <v>117</v>
      </c>
      <c r="C748" t="s">
        <v>15</v>
      </c>
      <c r="D748" t="s">
        <v>38</v>
      </c>
      <c r="E748">
        <v>1190</v>
      </c>
      <c r="F748" t="s">
        <v>21</v>
      </c>
      <c r="G748">
        <v>29</v>
      </c>
      <c r="H748">
        <v>100</v>
      </c>
      <c r="I748" t="str">
        <f>_xlfn.XLOOKUP($C748,dim_campaigns!$D$2:$D$3,dim_campaigns!$A$2:$A$3,"",0)</f>
        <v>Diwali</v>
      </c>
      <c r="J748" s="6">
        <f t="shared" si="22"/>
        <v>2.4482758620689653</v>
      </c>
      <c r="K748">
        <f t="shared" si="23"/>
        <v>94010</v>
      </c>
      <c r="L748" t="str">
        <f>VLOOKUP($B748,dim_stores!$A$1:$C$51,2,0)</f>
        <v>Mangalore</v>
      </c>
    </row>
    <row r="749" spans="1:12" x14ac:dyDescent="0.3">
      <c r="A749" t="s">
        <v>771</v>
      </c>
      <c r="B749" t="s">
        <v>9</v>
      </c>
      <c r="C749" t="s">
        <v>10</v>
      </c>
      <c r="D749" t="s">
        <v>51</v>
      </c>
      <c r="E749">
        <v>370</v>
      </c>
      <c r="F749" t="s">
        <v>21</v>
      </c>
      <c r="G749">
        <v>355</v>
      </c>
      <c r="H749">
        <v>1508</v>
      </c>
      <c r="I749" t="str">
        <f>_xlfn.XLOOKUP($C749,dim_campaigns!$D$2:$D$3,dim_campaigns!$A$2:$A$3,"",0)</f>
        <v>Sankranti</v>
      </c>
      <c r="J749" s="6">
        <f t="shared" si="22"/>
        <v>3.2478873239436621</v>
      </c>
      <c r="K749">
        <f t="shared" si="23"/>
        <v>410330</v>
      </c>
      <c r="L749" t="str">
        <f>VLOOKUP($B749,dim_stores!$A$1:$C$51,2,0)</f>
        <v>Coimbatore</v>
      </c>
    </row>
    <row r="750" spans="1:12" x14ac:dyDescent="0.3">
      <c r="A750" t="s">
        <v>772</v>
      </c>
      <c r="B750" t="s">
        <v>19</v>
      </c>
      <c r="C750" t="s">
        <v>10</v>
      </c>
      <c r="D750" t="s">
        <v>11</v>
      </c>
      <c r="E750">
        <v>190</v>
      </c>
      <c r="F750" t="s">
        <v>12</v>
      </c>
      <c r="G750">
        <v>25</v>
      </c>
      <c r="H750">
        <v>35</v>
      </c>
      <c r="I750" t="str">
        <f>_xlfn.XLOOKUP($C750,dim_campaigns!$D$2:$D$3,dim_campaigns!$A$2:$A$3,"",0)</f>
        <v>Sankranti</v>
      </c>
      <c r="J750" s="6">
        <f t="shared" si="22"/>
        <v>0.4</v>
      </c>
      <c r="K750">
        <f t="shared" si="23"/>
        <v>8075</v>
      </c>
      <c r="L750" t="str">
        <f>VLOOKUP($B750,dim_stores!$A$1:$C$51,2,0)</f>
        <v>Vijayawada</v>
      </c>
    </row>
    <row r="751" spans="1:12" x14ac:dyDescent="0.3">
      <c r="A751" s="1" t="s">
        <v>773</v>
      </c>
      <c r="B751" t="s">
        <v>212</v>
      </c>
      <c r="C751" t="s">
        <v>10</v>
      </c>
      <c r="D751" t="s">
        <v>43</v>
      </c>
      <c r="E751">
        <v>415</v>
      </c>
      <c r="F751" t="s">
        <v>17</v>
      </c>
      <c r="G751">
        <v>34</v>
      </c>
      <c r="H751">
        <v>28</v>
      </c>
      <c r="I751" t="str">
        <f>_xlfn.XLOOKUP($C751,dim_campaigns!$D$2:$D$3,dim_campaigns!$A$2:$A$3,"",0)</f>
        <v>Sankranti</v>
      </c>
      <c r="J751" s="6">
        <f t="shared" si="22"/>
        <v>-0.17647058823529413</v>
      </c>
      <c r="K751">
        <f t="shared" si="23"/>
        <v>22825</v>
      </c>
      <c r="L751" t="str">
        <f>VLOOKUP($B751,dim_stores!$A$1:$C$51,2,0)</f>
        <v>Bengaluru</v>
      </c>
    </row>
    <row r="752" spans="1:12" x14ac:dyDescent="0.3">
      <c r="A752" t="s">
        <v>774</v>
      </c>
      <c r="B752" t="s">
        <v>99</v>
      </c>
      <c r="C752" t="s">
        <v>10</v>
      </c>
      <c r="D752" t="s">
        <v>43</v>
      </c>
      <c r="E752">
        <v>415</v>
      </c>
      <c r="F752" t="s">
        <v>17</v>
      </c>
      <c r="G752">
        <v>18</v>
      </c>
      <c r="H752">
        <v>14</v>
      </c>
      <c r="I752" t="str">
        <f>_xlfn.XLOOKUP($C752,dim_campaigns!$D$2:$D$3,dim_campaigns!$A$2:$A$3,"",0)</f>
        <v>Sankranti</v>
      </c>
      <c r="J752" s="6">
        <f t="shared" si="22"/>
        <v>-0.22222222222222221</v>
      </c>
      <c r="K752">
        <f t="shared" si="23"/>
        <v>11827.5</v>
      </c>
      <c r="L752" t="str">
        <f>VLOOKUP($B752,dim_stores!$A$1:$C$51,2,0)</f>
        <v>Coimbatore</v>
      </c>
    </row>
    <row r="753" spans="1:12" x14ac:dyDescent="0.3">
      <c r="A753" t="s">
        <v>775</v>
      </c>
      <c r="B753" t="s">
        <v>139</v>
      </c>
      <c r="C753" t="s">
        <v>10</v>
      </c>
      <c r="D753" t="s">
        <v>35</v>
      </c>
      <c r="E753">
        <v>350</v>
      </c>
      <c r="F753" t="s">
        <v>21</v>
      </c>
      <c r="G753">
        <v>58</v>
      </c>
      <c r="H753">
        <v>148</v>
      </c>
      <c r="I753" t="str">
        <f>_xlfn.XLOOKUP($C753,dim_campaigns!$D$2:$D$3,dim_campaigns!$A$2:$A$3,"",0)</f>
        <v>Sankranti</v>
      </c>
      <c r="J753" s="6">
        <f t="shared" si="22"/>
        <v>1.5517241379310345</v>
      </c>
      <c r="K753">
        <f t="shared" si="23"/>
        <v>46200</v>
      </c>
      <c r="L753" t="str">
        <f>VLOOKUP($B753,dim_stores!$A$1:$C$51,2,0)</f>
        <v>Visakhapatnam</v>
      </c>
    </row>
    <row r="754" spans="1:12" x14ac:dyDescent="0.3">
      <c r="A754" t="s">
        <v>776</v>
      </c>
      <c r="B754" t="s">
        <v>142</v>
      </c>
      <c r="C754" t="s">
        <v>15</v>
      </c>
      <c r="D754" t="s">
        <v>43</v>
      </c>
      <c r="E754">
        <v>415</v>
      </c>
      <c r="F754" t="s">
        <v>17</v>
      </c>
      <c r="G754">
        <v>70</v>
      </c>
      <c r="H754">
        <v>63</v>
      </c>
      <c r="I754" t="str">
        <f>_xlfn.XLOOKUP($C754,dim_campaigns!$D$2:$D$3,dim_campaigns!$A$2:$A$3,"",0)</f>
        <v>Diwali</v>
      </c>
      <c r="J754" s="6">
        <f t="shared" si="22"/>
        <v>-0.1</v>
      </c>
      <c r="K754">
        <f t="shared" si="23"/>
        <v>48658.75</v>
      </c>
      <c r="L754" t="str">
        <f>VLOOKUP($B754,dim_stores!$A$1:$C$51,2,0)</f>
        <v>Madurai</v>
      </c>
    </row>
    <row r="755" spans="1:12" x14ac:dyDescent="0.3">
      <c r="A755">
        <v>353060</v>
      </c>
      <c r="B755" t="s">
        <v>212</v>
      </c>
      <c r="C755" t="s">
        <v>10</v>
      </c>
      <c r="D755" t="s">
        <v>11</v>
      </c>
      <c r="E755">
        <v>190</v>
      </c>
      <c r="F755" t="s">
        <v>12</v>
      </c>
      <c r="G755">
        <v>45</v>
      </c>
      <c r="H755">
        <v>73</v>
      </c>
      <c r="I755" t="str">
        <f>_xlfn.XLOOKUP($C755,dim_campaigns!$D$2:$D$3,dim_campaigns!$A$2:$A$3,"",0)</f>
        <v>Sankranti</v>
      </c>
      <c r="J755" s="6">
        <f t="shared" si="22"/>
        <v>0.62222222222222223</v>
      </c>
      <c r="K755">
        <f t="shared" si="23"/>
        <v>15485</v>
      </c>
      <c r="L755" t="str">
        <f>VLOOKUP($B755,dim_stores!$A$1:$C$51,2,0)</f>
        <v>Bengaluru</v>
      </c>
    </row>
    <row r="756" spans="1:12" x14ac:dyDescent="0.3">
      <c r="A756" t="s">
        <v>777</v>
      </c>
      <c r="B756" t="s">
        <v>174</v>
      </c>
      <c r="C756" t="s">
        <v>15</v>
      </c>
      <c r="D756" t="s">
        <v>85</v>
      </c>
      <c r="E756">
        <v>110</v>
      </c>
      <c r="F756" t="s">
        <v>12</v>
      </c>
      <c r="G756">
        <v>42</v>
      </c>
      <c r="H756">
        <v>55</v>
      </c>
      <c r="I756" t="str">
        <f>_xlfn.XLOOKUP($C756,dim_campaigns!$D$2:$D$3,dim_campaigns!$A$2:$A$3,"",0)</f>
        <v>Diwali</v>
      </c>
      <c r="J756" s="6">
        <f t="shared" si="22"/>
        <v>0.30952380952380953</v>
      </c>
      <c r="K756">
        <f t="shared" si="23"/>
        <v>7645</v>
      </c>
      <c r="L756" t="str">
        <f>VLOOKUP($B756,dim_stores!$A$1:$C$51,2,0)</f>
        <v>Trivandrum</v>
      </c>
    </row>
    <row r="757" spans="1:12" x14ac:dyDescent="0.3">
      <c r="A757" t="s">
        <v>778</v>
      </c>
      <c r="B757" t="s">
        <v>47</v>
      </c>
      <c r="C757" t="s">
        <v>10</v>
      </c>
      <c r="D757" t="s">
        <v>16</v>
      </c>
      <c r="E757">
        <v>200</v>
      </c>
      <c r="F757" t="s">
        <v>21</v>
      </c>
      <c r="G757">
        <v>358</v>
      </c>
      <c r="H757">
        <v>1410</v>
      </c>
      <c r="I757" t="str">
        <f>_xlfn.XLOOKUP($C757,dim_campaigns!$D$2:$D$3,dim_campaigns!$A$2:$A$3,"",0)</f>
        <v>Sankranti</v>
      </c>
      <c r="J757" s="6">
        <f t="shared" si="22"/>
        <v>2.9385474860335195</v>
      </c>
      <c r="K757">
        <f t="shared" si="23"/>
        <v>212600</v>
      </c>
      <c r="L757" t="str">
        <f>VLOOKUP($B757,dim_stores!$A$1:$C$51,2,0)</f>
        <v>Chennai</v>
      </c>
    </row>
    <row r="758" spans="1:12" x14ac:dyDescent="0.3">
      <c r="A758">
        <v>207744</v>
      </c>
      <c r="B758" t="s">
        <v>67</v>
      </c>
      <c r="C758" t="s">
        <v>10</v>
      </c>
      <c r="D758" t="s">
        <v>48</v>
      </c>
      <c r="E758">
        <v>62</v>
      </c>
      <c r="F758" t="s">
        <v>12</v>
      </c>
      <c r="G758">
        <v>52</v>
      </c>
      <c r="H758">
        <v>75</v>
      </c>
      <c r="I758" t="str">
        <f>_xlfn.XLOOKUP($C758,dim_campaigns!$D$2:$D$3,dim_campaigns!$A$2:$A$3,"",0)</f>
        <v>Sankranti</v>
      </c>
      <c r="J758" s="6">
        <f t="shared" si="22"/>
        <v>0.44230769230769229</v>
      </c>
      <c r="K758">
        <f t="shared" si="23"/>
        <v>5549</v>
      </c>
      <c r="L758" t="str">
        <f>VLOOKUP($B758,dim_stores!$A$1:$C$51,2,0)</f>
        <v>Bengaluru</v>
      </c>
    </row>
    <row r="759" spans="1:12" x14ac:dyDescent="0.3">
      <c r="A759" t="s">
        <v>779</v>
      </c>
      <c r="B759" t="s">
        <v>99</v>
      </c>
      <c r="C759" t="s">
        <v>15</v>
      </c>
      <c r="D759" t="s">
        <v>11</v>
      </c>
      <c r="E759">
        <v>190</v>
      </c>
      <c r="F759" t="s">
        <v>12</v>
      </c>
      <c r="G759">
        <v>66</v>
      </c>
      <c r="H759">
        <v>102</v>
      </c>
      <c r="I759" t="str">
        <f>_xlfn.XLOOKUP($C759,dim_campaigns!$D$2:$D$3,dim_campaigns!$A$2:$A$3,"",0)</f>
        <v>Diwali</v>
      </c>
      <c r="J759" s="6">
        <f t="shared" si="22"/>
        <v>0.54545454545454541</v>
      </c>
      <c r="K759">
        <f t="shared" si="23"/>
        <v>22230</v>
      </c>
      <c r="L759" t="str">
        <f>VLOOKUP($B759,dim_stores!$A$1:$C$51,2,0)</f>
        <v>Coimbatore</v>
      </c>
    </row>
    <row r="760" spans="1:12" x14ac:dyDescent="0.3">
      <c r="A760" t="s">
        <v>780</v>
      </c>
      <c r="B760" t="s">
        <v>50</v>
      </c>
      <c r="C760" t="s">
        <v>10</v>
      </c>
      <c r="D760" t="s">
        <v>32</v>
      </c>
      <c r="E760">
        <v>50</v>
      </c>
      <c r="F760" t="s">
        <v>17</v>
      </c>
      <c r="G760">
        <v>28</v>
      </c>
      <c r="H760">
        <v>21</v>
      </c>
      <c r="I760" t="str">
        <f>_xlfn.XLOOKUP($C760,dim_campaigns!$D$2:$D$3,dim_campaigns!$A$2:$A$3,"",0)</f>
        <v>Sankranti</v>
      </c>
      <c r="J760" s="6">
        <f t="shared" si="22"/>
        <v>-0.25</v>
      </c>
      <c r="K760">
        <f t="shared" si="23"/>
        <v>2187.5</v>
      </c>
      <c r="L760" t="str">
        <f>VLOOKUP($B760,dim_stores!$A$1:$C$51,2,0)</f>
        <v>Bengaluru</v>
      </c>
    </row>
    <row r="761" spans="1:12" x14ac:dyDescent="0.3">
      <c r="A761" t="s">
        <v>781</v>
      </c>
      <c r="B761" t="s">
        <v>50</v>
      </c>
      <c r="C761" t="s">
        <v>10</v>
      </c>
      <c r="D761" t="s">
        <v>53</v>
      </c>
      <c r="E761">
        <v>860</v>
      </c>
      <c r="F761" t="s">
        <v>54</v>
      </c>
      <c r="G761">
        <v>450</v>
      </c>
      <c r="H761">
        <v>634</v>
      </c>
      <c r="I761" t="str">
        <f>_xlfn.XLOOKUP($C761,dim_campaigns!$D$2:$D$3,dim_campaigns!$A$2:$A$3,"",0)</f>
        <v>Sankranti</v>
      </c>
      <c r="J761" s="6">
        <f t="shared" si="22"/>
        <v>0.40888888888888891</v>
      </c>
      <c r="K761">
        <f t="shared" si="23"/>
        <v>752310.8</v>
      </c>
      <c r="L761" t="str">
        <f>VLOOKUP($B761,dim_stores!$A$1:$C$51,2,0)</f>
        <v>Bengaluru</v>
      </c>
    </row>
    <row r="762" spans="1:12" x14ac:dyDescent="0.3">
      <c r="A762" t="s">
        <v>782</v>
      </c>
      <c r="B762" t="s">
        <v>99</v>
      </c>
      <c r="C762" t="s">
        <v>15</v>
      </c>
      <c r="D762" t="s">
        <v>32</v>
      </c>
      <c r="E762">
        <v>65</v>
      </c>
      <c r="F762" t="s">
        <v>12</v>
      </c>
      <c r="G762">
        <v>82</v>
      </c>
      <c r="H762">
        <v>122</v>
      </c>
      <c r="I762" t="str">
        <f>_xlfn.XLOOKUP($C762,dim_campaigns!$D$2:$D$3,dim_campaigns!$A$2:$A$3,"",0)</f>
        <v>Diwali</v>
      </c>
      <c r="J762" s="6">
        <f t="shared" si="22"/>
        <v>0.48780487804878048</v>
      </c>
      <c r="K762">
        <f t="shared" si="23"/>
        <v>9295</v>
      </c>
      <c r="L762" t="str">
        <f>VLOOKUP($B762,dim_stores!$A$1:$C$51,2,0)</f>
        <v>Coimbatore</v>
      </c>
    </row>
    <row r="763" spans="1:12" x14ac:dyDescent="0.3">
      <c r="A763" t="s">
        <v>783</v>
      </c>
      <c r="B763" t="s">
        <v>84</v>
      </c>
      <c r="C763" t="s">
        <v>15</v>
      </c>
      <c r="D763" t="s">
        <v>53</v>
      </c>
      <c r="E763">
        <v>860</v>
      </c>
      <c r="F763" t="s">
        <v>54</v>
      </c>
      <c r="G763">
        <v>395</v>
      </c>
      <c r="H763">
        <v>711</v>
      </c>
      <c r="I763" t="str">
        <f>_xlfn.XLOOKUP($C763,dim_campaigns!$D$2:$D$3,dim_campaigns!$A$2:$A$3,"",0)</f>
        <v>Diwali</v>
      </c>
      <c r="J763" s="6">
        <f t="shared" si="22"/>
        <v>0.8</v>
      </c>
      <c r="K763">
        <f t="shared" si="23"/>
        <v>749378.2</v>
      </c>
      <c r="L763" t="str">
        <f>VLOOKUP($B763,dim_stores!$A$1:$C$51,2,0)</f>
        <v>Mysuru</v>
      </c>
    </row>
    <row r="764" spans="1:12" x14ac:dyDescent="0.3">
      <c r="A764">
        <v>608271</v>
      </c>
      <c r="B764" t="s">
        <v>81</v>
      </c>
      <c r="C764" t="s">
        <v>10</v>
      </c>
      <c r="D764" t="s">
        <v>24</v>
      </c>
      <c r="E764">
        <v>3000</v>
      </c>
      <c r="F764" t="s">
        <v>25</v>
      </c>
      <c r="G764">
        <v>122</v>
      </c>
      <c r="H764">
        <v>342</v>
      </c>
      <c r="I764" t="str">
        <f>_xlfn.XLOOKUP($C764,dim_campaigns!$D$2:$D$3,dim_campaigns!$A$2:$A$3,"",0)</f>
        <v>Sankranti</v>
      </c>
      <c r="J764" s="6">
        <f t="shared" si="22"/>
        <v>1.8032786885245902</v>
      </c>
      <c r="K764">
        <f t="shared" si="23"/>
        <v>1221000</v>
      </c>
      <c r="L764" t="str">
        <f>VLOOKUP($B764,dim_stores!$A$1:$C$51,2,0)</f>
        <v>Madurai</v>
      </c>
    </row>
    <row r="765" spans="1:12" x14ac:dyDescent="0.3">
      <c r="A765" t="s">
        <v>784</v>
      </c>
      <c r="B765" t="s">
        <v>119</v>
      </c>
      <c r="C765" t="s">
        <v>15</v>
      </c>
      <c r="D765" t="s">
        <v>32</v>
      </c>
      <c r="E765">
        <v>65</v>
      </c>
      <c r="F765" t="s">
        <v>12</v>
      </c>
      <c r="G765">
        <v>119</v>
      </c>
      <c r="H765">
        <v>154</v>
      </c>
      <c r="I765" t="str">
        <f>_xlfn.XLOOKUP($C765,dim_campaigns!$D$2:$D$3,dim_campaigns!$A$2:$A$3,"",0)</f>
        <v>Diwali</v>
      </c>
      <c r="J765" s="6">
        <f t="shared" si="22"/>
        <v>0.29411764705882354</v>
      </c>
      <c r="K765">
        <f t="shared" si="23"/>
        <v>12740</v>
      </c>
      <c r="L765" t="str">
        <f>VLOOKUP($B765,dim_stores!$A$1:$C$51,2,0)</f>
        <v>Chennai</v>
      </c>
    </row>
    <row r="766" spans="1:12" x14ac:dyDescent="0.3">
      <c r="A766" t="s">
        <v>785</v>
      </c>
      <c r="B766" t="s">
        <v>56</v>
      </c>
      <c r="C766" t="s">
        <v>15</v>
      </c>
      <c r="D766" t="s">
        <v>48</v>
      </c>
      <c r="E766">
        <v>62</v>
      </c>
      <c r="F766" t="s">
        <v>12</v>
      </c>
      <c r="G766">
        <v>119</v>
      </c>
      <c r="H766">
        <v>138</v>
      </c>
      <c r="I766" t="str">
        <f>_xlfn.XLOOKUP($C766,dim_campaigns!$D$2:$D$3,dim_campaigns!$A$2:$A$3,"",0)</f>
        <v>Diwali</v>
      </c>
      <c r="J766" s="6">
        <f t="shared" si="22"/>
        <v>0.15966386554621848</v>
      </c>
      <c r="K766">
        <f t="shared" si="23"/>
        <v>11656</v>
      </c>
      <c r="L766" t="str">
        <f>VLOOKUP($B766,dim_stores!$A$1:$C$51,2,0)</f>
        <v>Chennai</v>
      </c>
    </row>
    <row r="767" spans="1:12" x14ac:dyDescent="0.3">
      <c r="A767" t="s">
        <v>786</v>
      </c>
      <c r="B767" t="s">
        <v>29</v>
      </c>
      <c r="C767" t="s">
        <v>10</v>
      </c>
      <c r="D767" t="s">
        <v>35</v>
      </c>
      <c r="E767">
        <v>350</v>
      </c>
      <c r="F767" t="s">
        <v>21</v>
      </c>
      <c r="G767">
        <v>94</v>
      </c>
      <c r="H767">
        <v>371</v>
      </c>
      <c r="I767" t="str">
        <f>_xlfn.XLOOKUP($C767,dim_campaigns!$D$2:$D$3,dim_campaigns!$A$2:$A$3,"",0)</f>
        <v>Sankranti</v>
      </c>
      <c r="J767" s="6">
        <f t="shared" si="22"/>
        <v>2.9468085106382977</v>
      </c>
      <c r="K767">
        <f t="shared" si="23"/>
        <v>97825</v>
      </c>
      <c r="L767" t="str">
        <f>VLOOKUP($B767,dim_stores!$A$1:$C$51,2,0)</f>
        <v>Bengaluru</v>
      </c>
    </row>
    <row r="768" spans="1:12" x14ac:dyDescent="0.3">
      <c r="A768" t="s">
        <v>787</v>
      </c>
      <c r="B768" t="s">
        <v>113</v>
      </c>
      <c r="C768" t="s">
        <v>15</v>
      </c>
      <c r="D768" t="s">
        <v>24</v>
      </c>
      <c r="E768">
        <v>3000</v>
      </c>
      <c r="F768" t="s">
        <v>25</v>
      </c>
      <c r="G768">
        <v>316</v>
      </c>
      <c r="H768">
        <v>859</v>
      </c>
      <c r="I768" t="str">
        <f>_xlfn.XLOOKUP($C768,dim_campaigns!$D$2:$D$3,dim_campaigns!$A$2:$A$3,"",0)</f>
        <v>Diwali</v>
      </c>
      <c r="J768" s="6">
        <f t="shared" si="22"/>
        <v>1.7183544303797469</v>
      </c>
      <c r="K768">
        <f t="shared" si="23"/>
        <v>3095500</v>
      </c>
      <c r="L768" t="str">
        <f>VLOOKUP($B768,dim_stores!$A$1:$C$51,2,0)</f>
        <v>Chennai</v>
      </c>
    </row>
    <row r="769" spans="1:12" x14ac:dyDescent="0.3">
      <c r="A769" t="s">
        <v>788</v>
      </c>
      <c r="B769" t="s">
        <v>142</v>
      </c>
      <c r="C769" t="s">
        <v>15</v>
      </c>
      <c r="D769" t="s">
        <v>20</v>
      </c>
      <c r="E769">
        <v>300</v>
      </c>
      <c r="F769" t="s">
        <v>21</v>
      </c>
      <c r="G769">
        <v>47</v>
      </c>
      <c r="H769">
        <v>157</v>
      </c>
      <c r="I769" t="str">
        <f>_xlfn.XLOOKUP($C769,dim_campaigns!$D$2:$D$3,dim_campaigns!$A$2:$A$3,"",0)</f>
        <v>Diwali</v>
      </c>
      <c r="J769" s="6">
        <f t="shared" si="22"/>
        <v>2.3404255319148937</v>
      </c>
      <c r="K769">
        <f t="shared" si="23"/>
        <v>37650</v>
      </c>
      <c r="L769" t="str">
        <f>VLOOKUP($B769,dim_stores!$A$1:$C$51,2,0)</f>
        <v>Madurai</v>
      </c>
    </row>
    <row r="770" spans="1:12" x14ac:dyDescent="0.3">
      <c r="A770" t="s">
        <v>789</v>
      </c>
      <c r="B770" t="s">
        <v>139</v>
      </c>
      <c r="C770" t="s">
        <v>10</v>
      </c>
      <c r="D770" t="s">
        <v>43</v>
      </c>
      <c r="E770">
        <v>415</v>
      </c>
      <c r="F770" t="s">
        <v>17</v>
      </c>
      <c r="G770">
        <v>33</v>
      </c>
      <c r="H770">
        <v>27</v>
      </c>
      <c r="I770" t="str">
        <f>_xlfn.XLOOKUP($C770,dim_campaigns!$D$2:$D$3,dim_campaigns!$A$2:$A$3,"",0)</f>
        <v>Sankranti</v>
      </c>
      <c r="J770" s="6">
        <f t="shared" si="22"/>
        <v>-0.18181818181818182</v>
      </c>
      <c r="K770">
        <f t="shared" si="23"/>
        <v>22098.75</v>
      </c>
      <c r="L770" t="str">
        <f>VLOOKUP($B770,dim_stores!$A$1:$C$51,2,0)</f>
        <v>Visakhapatnam</v>
      </c>
    </row>
    <row r="771" spans="1:12" x14ac:dyDescent="0.3">
      <c r="A771" t="s">
        <v>790</v>
      </c>
      <c r="B771" t="s">
        <v>113</v>
      </c>
      <c r="C771" t="s">
        <v>15</v>
      </c>
      <c r="D771" t="s">
        <v>43</v>
      </c>
      <c r="E771">
        <v>415</v>
      </c>
      <c r="F771" t="s">
        <v>17</v>
      </c>
      <c r="G771">
        <v>99</v>
      </c>
      <c r="H771">
        <v>87</v>
      </c>
      <c r="I771" t="str">
        <f>_xlfn.XLOOKUP($C771,dim_campaigns!$D$2:$D$3,dim_campaigns!$A$2:$A$3,"",0)</f>
        <v>Diwali</v>
      </c>
      <c r="J771" s="6">
        <f t="shared" ref="J771:J834" si="24">IFERROR((H771-G771)/G771,0)</f>
        <v>-0.12121212121212122</v>
      </c>
      <c r="K771">
        <f t="shared" ref="K771:K834" si="25">E771*G771+(E771-IF(F771="500 Cashback",500,IF(F771="BOGOF",E771*50%,IF(F771="25% OFF",E771*25%,IF(F771="33% OFF",E771*33%,IF(F771="50% OFF",E771*50%,0))))))*H771</f>
        <v>68163.75</v>
      </c>
      <c r="L771" t="str">
        <f>VLOOKUP($B771,dim_stores!$A$1:$C$51,2,0)</f>
        <v>Chennai</v>
      </c>
    </row>
    <row r="772" spans="1:12" x14ac:dyDescent="0.3">
      <c r="A772" t="s">
        <v>791</v>
      </c>
      <c r="B772" t="s">
        <v>190</v>
      </c>
      <c r="C772" t="s">
        <v>10</v>
      </c>
      <c r="D772" t="s">
        <v>32</v>
      </c>
      <c r="E772">
        <v>50</v>
      </c>
      <c r="F772" t="s">
        <v>17</v>
      </c>
      <c r="G772">
        <v>16</v>
      </c>
      <c r="H772">
        <v>13</v>
      </c>
      <c r="I772" t="str">
        <f>_xlfn.XLOOKUP($C772,dim_campaigns!$D$2:$D$3,dim_campaigns!$A$2:$A$3,"",0)</f>
        <v>Sankranti</v>
      </c>
      <c r="J772" s="6">
        <f t="shared" si="24"/>
        <v>-0.1875</v>
      </c>
      <c r="K772">
        <f t="shared" si="25"/>
        <v>1287.5</v>
      </c>
      <c r="L772" t="str">
        <f>VLOOKUP($B772,dim_stores!$A$1:$C$51,2,0)</f>
        <v>Visakhapatnam</v>
      </c>
    </row>
    <row r="773" spans="1:12" x14ac:dyDescent="0.3">
      <c r="A773" t="s">
        <v>792</v>
      </c>
      <c r="B773" t="s">
        <v>107</v>
      </c>
      <c r="C773" t="s">
        <v>10</v>
      </c>
      <c r="D773" t="s">
        <v>11</v>
      </c>
      <c r="E773">
        <v>190</v>
      </c>
      <c r="F773" t="s">
        <v>12</v>
      </c>
      <c r="G773">
        <v>45</v>
      </c>
      <c r="H773">
        <v>72</v>
      </c>
      <c r="I773" t="str">
        <f>_xlfn.XLOOKUP($C773,dim_campaigns!$D$2:$D$3,dim_campaigns!$A$2:$A$3,"",0)</f>
        <v>Sankranti</v>
      </c>
      <c r="J773" s="6">
        <f t="shared" si="24"/>
        <v>0.6</v>
      </c>
      <c r="K773">
        <f t="shared" si="25"/>
        <v>15390</v>
      </c>
      <c r="L773" t="str">
        <f>VLOOKUP($B773,dim_stores!$A$1:$C$51,2,0)</f>
        <v>Coimbatore</v>
      </c>
    </row>
    <row r="774" spans="1:12" x14ac:dyDescent="0.3">
      <c r="A774" t="s">
        <v>793</v>
      </c>
      <c r="B774" t="s">
        <v>56</v>
      </c>
      <c r="C774" t="s">
        <v>10</v>
      </c>
      <c r="D774" t="s">
        <v>68</v>
      </c>
      <c r="E774">
        <v>1020</v>
      </c>
      <c r="F774" t="s">
        <v>21</v>
      </c>
      <c r="G774">
        <v>105</v>
      </c>
      <c r="H774">
        <v>407</v>
      </c>
      <c r="I774" t="str">
        <f>_xlfn.XLOOKUP($C774,dim_campaigns!$D$2:$D$3,dim_campaigns!$A$2:$A$3,"",0)</f>
        <v>Sankranti</v>
      </c>
      <c r="J774" s="6">
        <f t="shared" si="24"/>
        <v>2.8761904761904762</v>
      </c>
      <c r="K774">
        <f t="shared" si="25"/>
        <v>314670</v>
      </c>
      <c r="L774" t="str">
        <f>VLOOKUP($B774,dim_stores!$A$1:$C$51,2,0)</f>
        <v>Chennai</v>
      </c>
    </row>
    <row r="775" spans="1:12" x14ac:dyDescent="0.3">
      <c r="A775" t="s">
        <v>794</v>
      </c>
      <c r="B775" t="s">
        <v>190</v>
      </c>
      <c r="C775" t="s">
        <v>10</v>
      </c>
      <c r="D775" t="s">
        <v>53</v>
      </c>
      <c r="E775">
        <v>860</v>
      </c>
      <c r="F775" t="s">
        <v>54</v>
      </c>
      <c r="G775">
        <v>408</v>
      </c>
      <c r="H775">
        <v>632</v>
      </c>
      <c r="I775" t="str">
        <f>_xlfn.XLOOKUP($C775,dim_campaigns!$D$2:$D$3,dim_campaigns!$A$2:$A$3,"",0)</f>
        <v>Sankranti</v>
      </c>
      <c r="J775" s="6">
        <f t="shared" si="24"/>
        <v>0.5490196078431373</v>
      </c>
      <c r="K775">
        <f t="shared" si="25"/>
        <v>715038.4</v>
      </c>
      <c r="L775" t="str">
        <f>VLOOKUP($B775,dim_stores!$A$1:$C$51,2,0)</f>
        <v>Visakhapatnam</v>
      </c>
    </row>
    <row r="776" spans="1:12" x14ac:dyDescent="0.3">
      <c r="A776" t="s">
        <v>795</v>
      </c>
      <c r="B776" t="s">
        <v>31</v>
      </c>
      <c r="C776" t="s">
        <v>10</v>
      </c>
      <c r="D776" t="s">
        <v>38</v>
      </c>
      <c r="E776">
        <v>1190</v>
      </c>
      <c r="F776" t="s">
        <v>21</v>
      </c>
      <c r="G776">
        <v>27</v>
      </c>
      <c r="H776">
        <v>107</v>
      </c>
      <c r="I776" t="str">
        <f>_xlfn.XLOOKUP($C776,dim_campaigns!$D$2:$D$3,dim_campaigns!$A$2:$A$3,"",0)</f>
        <v>Sankranti</v>
      </c>
      <c r="J776" s="6">
        <f t="shared" si="24"/>
        <v>2.9629629629629628</v>
      </c>
      <c r="K776">
        <f t="shared" si="25"/>
        <v>95795</v>
      </c>
      <c r="L776" t="str">
        <f>VLOOKUP($B776,dim_stores!$A$1:$C$51,2,0)</f>
        <v>Visakhapatnam</v>
      </c>
    </row>
    <row r="777" spans="1:12" x14ac:dyDescent="0.3">
      <c r="A777">
        <v>861506</v>
      </c>
      <c r="B777" t="s">
        <v>47</v>
      </c>
      <c r="C777" t="s">
        <v>15</v>
      </c>
      <c r="D777" t="s">
        <v>16</v>
      </c>
      <c r="E777">
        <v>156</v>
      </c>
      <c r="F777" t="s">
        <v>17</v>
      </c>
      <c r="G777">
        <v>334</v>
      </c>
      <c r="H777">
        <v>260</v>
      </c>
      <c r="I777" t="str">
        <f>_xlfn.XLOOKUP($C777,dim_campaigns!$D$2:$D$3,dim_campaigns!$A$2:$A$3,"",0)</f>
        <v>Diwali</v>
      </c>
      <c r="J777" s="6">
        <f t="shared" si="24"/>
        <v>-0.22155688622754491</v>
      </c>
      <c r="K777">
        <f t="shared" si="25"/>
        <v>82524</v>
      </c>
      <c r="L777" t="str">
        <f>VLOOKUP($B777,dim_stores!$A$1:$C$51,2,0)</f>
        <v>Chennai</v>
      </c>
    </row>
    <row r="778" spans="1:12" x14ac:dyDescent="0.3">
      <c r="A778" t="s">
        <v>796</v>
      </c>
      <c r="B778" t="s">
        <v>107</v>
      </c>
      <c r="C778" t="s">
        <v>10</v>
      </c>
      <c r="D778" t="s">
        <v>51</v>
      </c>
      <c r="E778">
        <v>370</v>
      </c>
      <c r="F778" t="s">
        <v>21</v>
      </c>
      <c r="G778">
        <v>367</v>
      </c>
      <c r="H778">
        <v>1423</v>
      </c>
      <c r="I778" t="str">
        <f>_xlfn.XLOOKUP($C778,dim_campaigns!$D$2:$D$3,dim_campaigns!$A$2:$A$3,"",0)</f>
        <v>Sankranti</v>
      </c>
      <c r="J778" s="6">
        <f t="shared" si="24"/>
        <v>2.877384196185286</v>
      </c>
      <c r="K778">
        <f t="shared" si="25"/>
        <v>399045</v>
      </c>
      <c r="L778" t="str">
        <f>VLOOKUP($B778,dim_stores!$A$1:$C$51,2,0)</f>
        <v>Coimbatore</v>
      </c>
    </row>
    <row r="779" spans="1:12" x14ac:dyDescent="0.3">
      <c r="A779" t="s">
        <v>797</v>
      </c>
      <c r="B779" t="s">
        <v>139</v>
      </c>
      <c r="C779" t="s">
        <v>10</v>
      </c>
      <c r="D779" t="s">
        <v>28</v>
      </c>
      <c r="E779">
        <v>55</v>
      </c>
      <c r="F779" t="s">
        <v>17</v>
      </c>
      <c r="G779">
        <v>19</v>
      </c>
      <c r="H779">
        <v>15</v>
      </c>
      <c r="I779" t="str">
        <f>_xlfn.XLOOKUP($C779,dim_campaigns!$D$2:$D$3,dim_campaigns!$A$2:$A$3,"",0)</f>
        <v>Sankranti</v>
      </c>
      <c r="J779" s="6">
        <f t="shared" si="24"/>
        <v>-0.21052631578947367</v>
      </c>
      <c r="K779">
        <f t="shared" si="25"/>
        <v>1663.75</v>
      </c>
      <c r="L779" t="str">
        <f>VLOOKUP($B779,dim_stores!$A$1:$C$51,2,0)</f>
        <v>Visakhapatnam</v>
      </c>
    </row>
    <row r="780" spans="1:12" x14ac:dyDescent="0.3">
      <c r="A780" t="s">
        <v>798</v>
      </c>
      <c r="B780" t="s">
        <v>207</v>
      </c>
      <c r="C780" t="s">
        <v>15</v>
      </c>
      <c r="D780" t="s">
        <v>53</v>
      </c>
      <c r="E780">
        <v>860</v>
      </c>
      <c r="F780" t="s">
        <v>54</v>
      </c>
      <c r="G780">
        <v>367</v>
      </c>
      <c r="H780">
        <v>601</v>
      </c>
      <c r="I780" t="str">
        <f>_xlfn.XLOOKUP($C780,dim_campaigns!$D$2:$D$3,dim_campaigns!$A$2:$A$3,"",0)</f>
        <v>Diwali</v>
      </c>
      <c r="J780" s="6">
        <f t="shared" si="24"/>
        <v>0.63760217983651224</v>
      </c>
      <c r="K780">
        <f t="shared" si="25"/>
        <v>661916.19999999995</v>
      </c>
      <c r="L780" t="str">
        <f>VLOOKUP($B780,dim_stores!$A$1:$C$51,2,0)</f>
        <v>Hyderabad</v>
      </c>
    </row>
    <row r="781" spans="1:12" x14ac:dyDescent="0.3">
      <c r="A781" t="s">
        <v>799</v>
      </c>
      <c r="B781" t="s">
        <v>65</v>
      </c>
      <c r="C781" t="s">
        <v>10</v>
      </c>
      <c r="D781" t="s">
        <v>51</v>
      </c>
      <c r="E781">
        <v>370</v>
      </c>
      <c r="F781" t="s">
        <v>21</v>
      </c>
      <c r="G781">
        <v>412</v>
      </c>
      <c r="H781">
        <v>1615</v>
      </c>
      <c r="I781" t="str">
        <f>_xlfn.XLOOKUP($C781,dim_campaigns!$D$2:$D$3,dim_campaigns!$A$2:$A$3,"",0)</f>
        <v>Sankranti</v>
      </c>
      <c r="J781" s="6">
        <f t="shared" si="24"/>
        <v>2.9199029126213594</v>
      </c>
      <c r="K781">
        <f t="shared" si="25"/>
        <v>451215</v>
      </c>
      <c r="L781" t="str">
        <f>VLOOKUP($B781,dim_stores!$A$1:$C$51,2,0)</f>
        <v>Hyderabad</v>
      </c>
    </row>
    <row r="782" spans="1:12" x14ac:dyDescent="0.3">
      <c r="A782" t="s">
        <v>800</v>
      </c>
      <c r="B782" t="s">
        <v>93</v>
      </c>
      <c r="C782" t="s">
        <v>15</v>
      </c>
      <c r="D782" t="s">
        <v>53</v>
      </c>
      <c r="E782">
        <v>860</v>
      </c>
      <c r="F782" t="s">
        <v>54</v>
      </c>
      <c r="G782">
        <v>351</v>
      </c>
      <c r="H782">
        <v>526</v>
      </c>
      <c r="I782" t="str">
        <f>_xlfn.XLOOKUP($C782,dim_campaigns!$D$2:$D$3,dim_campaigns!$A$2:$A$3,"",0)</f>
        <v>Diwali</v>
      </c>
      <c r="J782" s="6">
        <f t="shared" si="24"/>
        <v>0.4985754985754986</v>
      </c>
      <c r="K782">
        <f t="shared" si="25"/>
        <v>604941.19999999995</v>
      </c>
      <c r="L782" t="str">
        <f>VLOOKUP($B782,dim_stores!$A$1:$C$51,2,0)</f>
        <v>Bengaluru</v>
      </c>
    </row>
    <row r="783" spans="1:12" x14ac:dyDescent="0.3">
      <c r="A783" t="s">
        <v>801</v>
      </c>
      <c r="B783" t="s">
        <v>9</v>
      </c>
      <c r="C783" t="s">
        <v>15</v>
      </c>
      <c r="D783" t="s">
        <v>61</v>
      </c>
      <c r="E783">
        <v>172</v>
      </c>
      <c r="F783" t="s">
        <v>54</v>
      </c>
      <c r="G783">
        <v>190</v>
      </c>
      <c r="H783">
        <v>313</v>
      </c>
      <c r="I783" t="str">
        <f>_xlfn.XLOOKUP($C783,dim_campaigns!$D$2:$D$3,dim_campaigns!$A$2:$A$3,"",0)</f>
        <v>Diwali</v>
      </c>
      <c r="J783" s="6">
        <f t="shared" si="24"/>
        <v>0.64736842105263159</v>
      </c>
      <c r="K783">
        <f t="shared" si="25"/>
        <v>68750.12</v>
      </c>
      <c r="L783" t="str">
        <f>VLOOKUP($B783,dim_stores!$A$1:$C$51,2,0)</f>
        <v>Coimbatore</v>
      </c>
    </row>
    <row r="784" spans="1:12" x14ac:dyDescent="0.3">
      <c r="A784" s="1">
        <v>5.0000000000000003E+300</v>
      </c>
      <c r="B784" t="s">
        <v>89</v>
      </c>
      <c r="C784" t="s">
        <v>15</v>
      </c>
      <c r="D784" t="s">
        <v>68</v>
      </c>
      <c r="E784">
        <v>1020</v>
      </c>
      <c r="F784" t="s">
        <v>21</v>
      </c>
      <c r="G784">
        <v>24</v>
      </c>
      <c r="H784">
        <v>80</v>
      </c>
      <c r="I784" t="str">
        <f>_xlfn.XLOOKUP($C784,dim_campaigns!$D$2:$D$3,dim_campaigns!$A$2:$A$3,"",0)</f>
        <v>Diwali</v>
      </c>
      <c r="J784" s="6">
        <f t="shared" si="24"/>
        <v>2.3333333333333335</v>
      </c>
      <c r="K784">
        <f t="shared" si="25"/>
        <v>65280</v>
      </c>
      <c r="L784" t="str">
        <f>VLOOKUP($B784,dim_stores!$A$1:$C$51,2,0)</f>
        <v>Vijayawada</v>
      </c>
    </row>
    <row r="785" spans="1:12" x14ac:dyDescent="0.3">
      <c r="A785" t="s">
        <v>802</v>
      </c>
      <c r="B785" t="s">
        <v>113</v>
      </c>
      <c r="C785" t="s">
        <v>10</v>
      </c>
      <c r="D785" t="s">
        <v>32</v>
      </c>
      <c r="E785">
        <v>50</v>
      </c>
      <c r="F785" t="s">
        <v>17</v>
      </c>
      <c r="G785">
        <v>40</v>
      </c>
      <c r="H785">
        <v>33</v>
      </c>
      <c r="I785" t="str">
        <f>_xlfn.XLOOKUP($C785,dim_campaigns!$D$2:$D$3,dim_campaigns!$A$2:$A$3,"",0)</f>
        <v>Sankranti</v>
      </c>
      <c r="J785" s="6">
        <f t="shared" si="24"/>
        <v>-0.17499999999999999</v>
      </c>
      <c r="K785">
        <f t="shared" si="25"/>
        <v>3237.5</v>
      </c>
      <c r="L785" t="str">
        <f>VLOOKUP($B785,dim_stores!$A$1:$C$51,2,0)</f>
        <v>Chennai</v>
      </c>
    </row>
    <row r="786" spans="1:12" x14ac:dyDescent="0.3">
      <c r="A786" t="s">
        <v>803</v>
      </c>
      <c r="B786" t="s">
        <v>34</v>
      </c>
      <c r="C786" t="s">
        <v>15</v>
      </c>
      <c r="D786" t="s">
        <v>16</v>
      </c>
      <c r="E786">
        <v>156</v>
      </c>
      <c r="F786" t="s">
        <v>17</v>
      </c>
      <c r="G786">
        <v>341</v>
      </c>
      <c r="H786">
        <v>327</v>
      </c>
      <c r="I786" t="str">
        <f>_xlfn.XLOOKUP($C786,dim_campaigns!$D$2:$D$3,dim_campaigns!$A$2:$A$3,"",0)</f>
        <v>Diwali</v>
      </c>
      <c r="J786" s="6">
        <f t="shared" si="24"/>
        <v>-4.1055718475073312E-2</v>
      </c>
      <c r="K786">
        <f t="shared" si="25"/>
        <v>91455</v>
      </c>
      <c r="L786" t="str">
        <f>VLOOKUP($B786,dim_stores!$A$1:$C$51,2,0)</f>
        <v>Hyderabad</v>
      </c>
    </row>
    <row r="787" spans="1:12" x14ac:dyDescent="0.3">
      <c r="A787" t="s">
        <v>804</v>
      </c>
      <c r="B787" t="s">
        <v>34</v>
      </c>
      <c r="C787" t="s">
        <v>15</v>
      </c>
      <c r="D787" t="s">
        <v>28</v>
      </c>
      <c r="E787">
        <v>55</v>
      </c>
      <c r="F787" t="s">
        <v>17</v>
      </c>
      <c r="G787">
        <v>106</v>
      </c>
      <c r="H787">
        <v>101</v>
      </c>
      <c r="I787" t="str">
        <f>_xlfn.XLOOKUP($C787,dim_campaigns!$D$2:$D$3,dim_campaigns!$A$2:$A$3,"",0)</f>
        <v>Diwali</v>
      </c>
      <c r="J787" s="6">
        <f t="shared" si="24"/>
        <v>-4.716981132075472E-2</v>
      </c>
      <c r="K787">
        <f t="shared" si="25"/>
        <v>9996.25</v>
      </c>
      <c r="L787" t="str">
        <f>VLOOKUP($B787,dim_stores!$A$1:$C$51,2,0)</f>
        <v>Hyderabad</v>
      </c>
    </row>
    <row r="788" spans="1:12" x14ac:dyDescent="0.3">
      <c r="A788" t="s">
        <v>805</v>
      </c>
      <c r="B788" t="s">
        <v>161</v>
      </c>
      <c r="C788" t="s">
        <v>10</v>
      </c>
      <c r="D788" t="s">
        <v>61</v>
      </c>
      <c r="E788">
        <v>172</v>
      </c>
      <c r="F788" t="s">
        <v>54</v>
      </c>
      <c r="G788">
        <v>256</v>
      </c>
      <c r="H788">
        <v>358</v>
      </c>
      <c r="I788" t="str">
        <f>_xlfn.XLOOKUP($C788,dim_campaigns!$D$2:$D$3,dim_campaigns!$A$2:$A$3,"",0)</f>
        <v>Sankranti</v>
      </c>
      <c r="J788" s="6">
        <f t="shared" si="24"/>
        <v>0.3984375</v>
      </c>
      <c r="K788">
        <f t="shared" si="25"/>
        <v>85287.92</v>
      </c>
      <c r="L788" t="str">
        <f>VLOOKUP($B788,dim_stores!$A$1:$C$51,2,0)</f>
        <v>Chennai</v>
      </c>
    </row>
    <row r="789" spans="1:12" x14ac:dyDescent="0.3">
      <c r="A789" t="s">
        <v>806</v>
      </c>
      <c r="B789" t="s">
        <v>50</v>
      </c>
      <c r="C789" t="s">
        <v>10</v>
      </c>
      <c r="D789" t="s">
        <v>61</v>
      </c>
      <c r="E789">
        <v>172</v>
      </c>
      <c r="F789" t="s">
        <v>54</v>
      </c>
      <c r="G789">
        <v>277</v>
      </c>
      <c r="H789">
        <v>387</v>
      </c>
      <c r="I789" t="str">
        <f>_xlfn.XLOOKUP($C789,dim_campaigns!$D$2:$D$3,dim_campaigns!$A$2:$A$3,"",0)</f>
        <v>Sankranti</v>
      </c>
      <c r="J789" s="6">
        <f t="shared" si="24"/>
        <v>0.3971119133574007</v>
      </c>
      <c r="K789">
        <f t="shared" si="25"/>
        <v>92241.88</v>
      </c>
      <c r="L789" t="str">
        <f>VLOOKUP($B789,dim_stores!$A$1:$C$51,2,0)</f>
        <v>Bengaluru</v>
      </c>
    </row>
    <row r="790" spans="1:12" x14ac:dyDescent="0.3">
      <c r="A790" t="s">
        <v>807</v>
      </c>
      <c r="B790" t="s">
        <v>23</v>
      </c>
      <c r="C790" t="s">
        <v>10</v>
      </c>
      <c r="D790" t="s">
        <v>11</v>
      </c>
      <c r="E790">
        <v>190</v>
      </c>
      <c r="F790" t="s">
        <v>12</v>
      </c>
      <c r="G790">
        <v>28</v>
      </c>
      <c r="H790">
        <v>31</v>
      </c>
      <c r="I790" t="str">
        <f>_xlfn.XLOOKUP($C790,dim_campaigns!$D$2:$D$3,dim_campaigns!$A$2:$A$3,"",0)</f>
        <v>Sankranti</v>
      </c>
      <c r="J790" s="6">
        <f t="shared" si="24"/>
        <v>0.10714285714285714</v>
      </c>
      <c r="K790">
        <f t="shared" si="25"/>
        <v>8265</v>
      </c>
      <c r="L790" t="str">
        <f>VLOOKUP($B790,dim_stores!$A$1:$C$51,2,0)</f>
        <v>Coimbatore</v>
      </c>
    </row>
    <row r="791" spans="1:12" x14ac:dyDescent="0.3">
      <c r="A791" t="s">
        <v>808</v>
      </c>
      <c r="B791" t="s">
        <v>212</v>
      </c>
      <c r="C791" t="s">
        <v>15</v>
      </c>
      <c r="D791" t="s">
        <v>53</v>
      </c>
      <c r="E791">
        <v>860</v>
      </c>
      <c r="F791" t="s">
        <v>54</v>
      </c>
      <c r="G791">
        <v>336</v>
      </c>
      <c r="H791">
        <v>577</v>
      </c>
      <c r="I791" t="str">
        <f>_xlfn.XLOOKUP($C791,dim_campaigns!$D$2:$D$3,dim_campaigns!$A$2:$A$3,"",0)</f>
        <v>Diwali</v>
      </c>
      <c r="J791" s="6">
        <f t="shared" si="24"/>
        <v>0.71726190476190477</v>
      </c>
      <c r="K791">
        <f t="shared" si="25"/>
        <v>621427.4</v>
      </c>
      <c r="L791" t="str">
        <f>VLOOKUP($B791,dim_stores!$A$1:$C$51,2,0)</f>
        <v>Bengaluru</v>
      </c>
    </row>
    <row r="792" spans="1:12" x14ac:dyDescent="0.3">
      <c r="A792" t="s">
        <v>809</v>
      </c>
      <c r="B792" t="s">
        <v>84</v>
      </c>
      <c r="C792" t="s">
        <v>15</v>
      </c>
      <c r="D792" t="s">
        <v>38</v>
      </c>
      <c r="E792">
        <v>1190</v>
      </c>
      <c r="F792" t="s">
        <v>21</v>
      </c>
      <c r="G792">
        <v>47</v>
      </c>
      <c r="H792">
        <v>184</v>
      </c>
      <c r="I792" t="str">
        <f>_xlfn.XLOOKUP($C792,dim_campaigns!$D$2:$D$3,dim_campaigns!$A$2:$A$3,"",0)</f>
        <v>Diwali</v>
      </c>
      <c r="J792" s="6">
        <f t="shared" si="24"/>
        <v>2.9148936170212765</v>
      </c>
      <c r="K792">
        <f t="shared" si="25"/>
        <v>165410</v>
      </c>
      <c r="L792" t="str">
        <f>VLOOKUP($B792,dim_stores!$A$1:$C$51,2,0)</f>
        <v>Mysuru</v>
      </c>
    </row>
    <row r="793" spans="1:12" x14ac:dyDescent="0.3">
      <c r="A793" t="s">
        <v>810</v>
      </c>
      <c r="B793" t="s">
        <v>34</v>
      </c>
      <c r="C793" t="s">
        <v>10</v>
      </c>
      <c r="D793" t="s">
        <v>53</v>
      </c>
      <c r="E793">
        <v>860</v>
      </c>
      <c r="F793" t="s">
        <v>54</v>
      </c>
      <c r="G793">
        <v>594</v>
      </c>
      <c r="H793">
        <v>819</v>
      </c>
      <c r="I793" t="str">
        <f>_xlfn.XLOOKUP($C793,dim_campaigns!$D$2:$D$3,dim_campaigns!$A$2:$A$3,"",0)</f>
        <v>Sankranti</v>
      </c>
      <c r="J793" s="6">
        <f t="shared" si="24"/>
        <v>0.37878787878787878</v>
      </c>
      <c r="K793">
        <f t="shared" si="25"/>
        <v>982747.8</v>
      </c>
      <c r="L793" t="str">
        <f>VLOOKUP($B793,dim_stores!$A$1:$C$51,2,0)</f>
        <v>Hyderabad</v>
      </c>
    </row>
    <row r="794" spans="1:12" x14ac:dyDescent="0.3">
      <c r="A794" t="s">
        <v>811</v>
      </c>
      <c r="B794" t="s">
        <v>23</v>
      </c>
      <c r="C794" t="s">
        <v>15</v>
      </c>
      <c r="D794" t="s">
        <v>85</v>
      </c>
      <c r="E794">
        <v>110</v>
      </c>
      <c r="F794" t="s">
        <v>12</v>
      </c>
      <c r="G794">
        <v>59</v>
      </c>
      <c r="H794">
        <v>69</v>
      </c>
      <c r="I794" t="str">
        <f>_xlfn.XLOOKUP($C794,dim_campaigns!$D$2:$D$3,dim_campaigns!$A$2:$A$3,"",0)</f>
        <v>Diwali</v>
      </c>
      <c r="J794" s="6">
        <f t="shared" si="24"/>
        <v>0.16949152542372881</v>
      </c>
      <c r="K794">
        <f t="shared" si="25"/>
        <v>10285</v>
      </c>
      <c r="L794" t="str">
        <f>VLOOKUP($B794,dim_stores!$A$1:$C$51,2,0)</f>
        <v>Coimbatore</v>
      </c>
    </row>
    <row r="795" spans="1:12" x14ac:dyDescent="0.3">
      <c r="A795" t="s">
        <v>812</v>
      </c>
      <c r="B795" t="s">
        <v>212</v>
      </c>
      <c r="C795" t="s">
        <v>10</v>
      </c>
      <c r="D795" t="s">
        <v>32</v>
      </c>
      <c r="E795">
        <v>50</v>
      </c>
      <c r="F795" t="s">
        <v>17</v>
      </c>
      <c r="G795">
        <v>40</v>
      </c>
      <c r="H795">
        <v>33</v>
      </c>
      <c r="I795" t="str">
        <f>_xlfn.XLOOKUP($C795,dim_campaigns!$D$2:$D$3,dim_campaigns!$A$2:$A$3,"",0)</f>
        <v>Sankranti</v>
      </c>
      <c r="J795" s="6">
        <f t="shared" si="24"/>
        <v>-0.17499999999999999</v>
      </c>
      <c r="K795">
        <f t="shared" si="25"/>
        <v>3237.5</v>
      </c>
      <c r="L795" t="str">
        <f>VLOOKUP($B795,dim_stores!$A$1:$C$51,2,0)</f>
        <v>Bengaluru</v>
      </c>
    </row>
    <row r="796" spans="1:12" x14ac:dyDescent="0.3">
      <c r="A796" t="s">
        <v>813</v>
      </c>
      <c r="B796" t="s">
        <v>40</v>
      </c>
      <c r="C796" t="s">
        <v>15</v>
      </c>
      <c r="D796" t="s">
        <v>24</v>
      </c>
      <c r="E796">
        <v>3000</v>
      </c>
      <c r="F796" t="s">
        <v>25</v>
      </c>
      <c r="G796">
        <v>315</v>
      </c>
      <c r="H796">
        <v>976</v>
      </c>
      <c r="I796" t="str">
        <f>_xlfn.XLOOKUP($C796,dim_campaigns!$D$2:$D$3,dim_campaigns!$A$2:$A$3,"",0)</f>
        <v>Diwali</v>
      </c>
      <c r="J796" s="6">
        <f t="shared" si="24"/>
        <v>2.0984126984126985</v>
      </c>
      <c r="K796">
        <f t="shared" si="25"/>
        <v>3385000</v>
      </c>
      <c r="L796" t="str">
        <f>VLOOKUP($B796,dim_stores!$A$1:$C$51,2,0)</f>
        <v>Madurai</v>
      </c>
    </row>
    <row r="797" spans="1:12" x14ac:dyDescent="0.3">
      <c r="A797" t="s">
        <v>814</v>
      </c>
      <c r="B797" t="s">
        <v>193</v>
      </c>
      <c r="C797" t="s">
        <v>10</v>
      </c>
      <c r="D797" t="s">
        <v>11</v>
      </c>
      <c r="E797">
        <v>190</v>
      </c>
      <c r="F797" t="s">
        <v>12</v>
      </c>
      <c r="G797">
        <v>49</v>
      </c>
      <c r="H797">
        <v>68</v>
      </c>
      <c r="I797" t="str">
        <f>_xlfn.XLOOKUP($C797,dim_campaigns!$D$2:$D$3,dim_campaigns!$A$2:$A$3,"",0)</f>
        <v>Sankranti</v>
      </c>
      <c r="J797" s="6">
        <f t="shared" si="24"/>
        <v>0.38775510204081631</v>
      </c>
      <c r="K797">
        <f t="shared" si="25"/>
        <v>15770</v>
      </c>
      <c r="L797" t="str">
        <f>VLOOKUP($B797,dim_stores!$A$1:$C$51,2,0)</f>
        <v>Bengaluru</v>
      </c>
    </row>
    <row r="798" spans="1:12" x14ac:dyDescent="0.3">
      <c r="A798" t="s">
        <v>815</v>
      </c>
      <c r="B798" t="s">
        <v>207</v>
      </c>
      <c r="C798" t="s">
        <v>10</v>
      </c>
      <c r="D798" t="s">
        <v>51</v>
      </c>
      <c r="E798">
        <v>370</v>
      </c>
      <c r="F798" t="s">
        <v>21</v>
      </c>
      <c r="G798">
        <v>412</v>
      </c>
      <c r="H798">
        <v>1615</v>
      </c>
      <c r="I798" t="str">
        <f>_xlfn.XLOOKUP($C798,dim_campaigns!$D$2:$D$3,dim_campaigns!$A$2:$A$3,"",0)</f>
        <v>Sankranti</v>
      </c>
      <c r="J798" s="6">
        <f t="shared" si="24"/>
        <v>2.9199029126213594</v>
      </c>
      <c r="K798">
        <f t="shared" si="25"/>
        <v>451215</v>
      </c>
      <c r="L798" t="str">
        <f>VLOOKUP($B798,dim_stores!$A$1:$C$51,2,0)</f>
        <v>Hyderabad</v>
      </c>
    </row>
    <row r="799" spans="1:12" x14ac:dyDescent="0.3">
      <c r="A799" t="s">
        <v>816</v>
      </c>
      <c r="B799" t="s">
        <v>34</v>
      </c>
      <c r="C799" t="s">
        <v>15</v>
      </c>
      <c r="D799" t="s">
        <v>51</v>
      </c>
      <c r="E799">
        <v>290</v>
      </c>
      <c r="F799" t="s">
        <v>17</v>
      </c>
      <c r="G799">
        <v>376</v>
      </c>
      <c r="H799">
        <v>360</v>
      </c>
      <c r="I799" t="str">
        <f>_xlfn.XLOOKUP($C799,dim_campaigns!$D$2:$D$3,dim_campaigns!$A$2:$A$3,"",0)</f>
        <v>Diwali</v>
      </c>
      <c r="J799" s="6">
        <f t="shared" si="24"/>
        <v>-4.2553191489361701E-2</v>
      </c>
      <c r="K799">
        <f t="shared" si="25"/>
        <v>187340</v>
      </c>
      <c r="L799" t="str">
        <f>VLOOKUP($B799,dim_stores!$A$1:$C$51,2,0)</f>
        <v>Hyderabad</v>
      </c>
    </row>
    <row r="800" spans="1:12" x14ac:dyDescent="0.3">
      <c r="A800" t="s">
        <v>817</v>
      </c>
      <c r="B800" t="s">
        <v>75</v>
      </c>
      <c r="C800" t="s">
        <v>10</v>
      </c>
      <c r="D800" t="s">
        <v>48</v>
      </c>
      <c r="E800">
        <v>62</v>
      </c>
      <c r="F800" t="s">
        <v>12</v>
      </c>
      <c r="G800">
        <v>45</v>
      </c>
      <c r="H800">
        <v>53</v>
      </c>
      <c r="I800" t="str">
        <f>_xlfn.XLOOKUP($C800,dim_campaigns!$D$2:$D$3,dim_campaigns!$A$2:$A$3,"",0)</f>
        <v>Sankranti</v>
      </c>
      <c r="J800" s="6">
        <f t="shared" si="24"/>
        <v>0.17777777777777778</v>
      </c>
      <c r="K800">
        <f t="shared" si="25"/>
        <v>4433</v>
      </c>
      <c r="L800" t="str">
        <f>VLOOKUP($B800,dim_stores!$A$1:$C$51,2,0)</f>
        <v>Madurai</v>
      </c>
    </row>
    <row r="801" spans="1:12" x14ac:dyDescent="0.3">
      <c r="A801" t="s">
        <v>818</v>
      </c>
      <c r="B801" t="s">
        <v>96</v>
      </c>
      <c r="C801" t="s">
        <v>15</v>
      </c>
      <c r="D801" t="s">
        <v>35</v>
      </c>
      <c r="E801">
        <v>350</v>
      </c>
      <c r="F801" t="s">
        <v>21</v>
      </c>
      <c r="G801">
        <v>73</v>
      </c>
      <c r="H801">
        <v>282</v>
      </c>
      <c r="I801" t="str">
        <f>_xlfn.XLOOKUP($C801,dim_campaigns!$D$2:$D$3,dim_campaigns!$A$2:$A$3,"",0)</f>
        <v>Diwali</v>
      </c>
      <c r="J801" s="6">
        <f t="shared" si="24"/>
        <v>2.8630136986301369</v>
      </c>
      <c r="K801">
        <f t="shared" si="25"/>
        <v>74900</v>
      </c>
      <c r="L801" t="str">
        <f>VLOOKUP($B801,dim_stores!$A$1:$C$51,2,0)</f>
        <v>Mysuru</v>
      </c>
    </row>
    <row r="802" spans="1:12" x14ac:dyDescent="0.3">
      <c r="A802" t="s">
        <v>819</v>
      </c>
      <c r="B802" t="s">
        <v>19</v>
      </c>
      <c r="C802" t="s">
        <v>15</v>
      </c>
      <c r="D802" t="s">
        <v>28</v>
      </c>
      <c r="E802">
        <v>55</v>
      </c>
      <c r="F802" t="s">
        <v>17</v>
      </c>
      <c r="G802">
        <v>56</v>
      </c>
      <c r="H802">
        <v>54</v>
      </c>
      <c r="I802" t="str">
        <f>_xlfn.XLOOKUP($C802,dim_campaigns!$D$2:$D$3,dim_campaigns!$A$2:$A$3,"",0)</f>
        <v>Diwali</v>
      </c>
      <c r="J802" s="6">
        <f t="shared" si="24"/>
        <v>-3.5714285714285712E-2</v>
      </c>
      <c r="K802">
        <f t="shared" si="25"/>
        <v>5307.5</v>
      </c>
      <c r="L802" t="str">
        <f>VLOOKUP($B802,dim_stores!$A$1:$C$51,2,0)</f>
        <v>Vijayawada</v>
      </c>
    </row>
    <row r="803" spans="1:12" x14ac:dyDescent="0.3">
      <c r="A803" t="s">
        <v>820</v>
      </c>
      <c r="B803" t="s">
        <v>174</v>
      </c>
      <c r="C803" t="s">
        <v>15</v>
      </c>
      <c r="D803" t="s">
        <v>61</v>
      </c>
      <c r="E803">
        <v>172</v>
      </c>
      <c r="F803" t="s">
        <v>54</v>
      </c>
      <c r="G803">
        <v>147</v>
      </c>
      <c r="H803">
        <v>214</v>
      </c>
      <c r="I803" t="str">
        <f>_xlfn.XLOOKUP($C803,dim_campaigns!$D$2:$D$3,dim_campaigns!$A$2:$A$3,"",0)</f>
        <v>Diwali</v>
      </c>
      <c r="J803" s="6">
        <f t="shared" si="24"/>
        <v>0.45578231292517007</v>
      </c>
      <c r="K803">
        <f t="shared" si="25"/>
        <v>49945.36</v>
      </c>
      <c r="L803" t="str">
        <f>VLOOKUP($B803,dim_stores!$A$1:$C$51,2,0)</f>
        <v>Trivandrum</v>
      </c>
    </row>
    <row r="804" spans="1:12" x14ac:dyDescent="0.3">
      <c r="A804">
        <v>191614</v>
      </c>
      <c r="B804" t="s">
        <v>96</v>
      </c>
      <c r="C804" t="s">
        <v>15</v>
      </c>
      <c r="D804" t="s">
        <v>32</v>
      </c>
      <c r="E804">
        <v>65</v>
      </c>
      <c r="F804" t="s">
        <v>12</v>
      </c>
      <c r="G804">
        <v>103</v>
      </c>
      <c r="H804">
        <v>109</v>
      </c>
      <c r="I804" t="str">
        <f>_xlfn.XLOOKUP($C804,dim_campaigns!$D$2:$D$3,dim_campaigns!$A$2:$A$3,"",0)</f>
        <v>Diwali</v>
      </c>
      <c r="J804" s="6">
        <f t="shared" si="24"/>
        <v>5.8252427184466021E-2</v>
      </c>
      <c r="K804">
        <f t="shared" si="25"/>
        <v>10237.5</v>
      </c>
      <c r="L804" t="str">
        <f>VLOOKUP($B804,dim_stores!$A$1:$C$51,2,0)</f>
        <v>Mysuru</v>
      </c>
    </row>
    <row r="805" spans="1:12" x14ac:dyDescent="0.3">
      <c r="A805" t="s">
        <v>821</v>
      </c>
      <c r="B805" t="s">
        <v>58</v>
      </c>
      <c r="C805" t="s">
        <v>10</v>
      </c>
      <c r="D805" t="s">
        <v>48</v>
      </c>
      <c r="E805">
        <v>62</v>
      </c>
      <c r="F805" t="s">
        <v>12</v>
      </c>
      <c r="G805">
        <v>58</v>
      </c>
      <c r="H805">
        <v>65</v>
      </c>
      <c r="I805" t="str">
        <f>_xlfn.XLOOKUP($C805,dim_campaigns!$D$2:$D$3,dim_campaigns!$A$2:$A$3,"",0)</f>
        <v>Sankranti</v>
      </c>
      <c r="J805" s="6">
        <f t="shared" si="24"/>
        <v>0.1206896551724138</v>
      </c>
      <c r="K805">
        <f t="shared" si="25"/>
        <v>5611</v>
      </c>
      <c r="L805" t="str">
        <f>VLOOKUP($B805,dim_stores!$A$1:$C$51,2,0)</f>
        <v>Chennai</v>
      </c>
    </row>
    <row r="806" spans="1:12" x14ac:dyDescent="0.3">
      <c r="A806">
        <v>166989</v>
      </c>
      <c r="B806" t="s">
        <v>23</v>
      </c>
      <c r="C806" t="s">
        <v>10</v>
      </c>
      <c r="D806" t="s">
        <v>61</v>
      </c>
      <c r="E806">
        <v>172</v>
      </c>
      <c r="F806" t="s">
        <v>54</v>
      </c>
      <c r="G806">
        <v>169</v>
      </c>
      <c r="H806">
        <v>206</v>
      </c>
      <c r="I806" t="str">
        <f>_xlfn.XLOOKUP($C806,dim_campaigns!$D$2:$D$3,dim_campaigns!$A$2:$A$3,"",0)</f>
        <v>Sankranti</v>
      </c>
      <c r="J806" s="6">
        <f t="shared" si="24"/>
        <v>0.21893491124260356</v>
      </c>
      <c r="K806">
        <f t="shared" si="25"/>
        <v>52807.44</v>
      </c>
      <c r="L806" t="str">
        <f>VLOOKUP($B806,dim_stores!$A$1:$C$51,2,0)</f>
        <v>Coimbatore</v>
      </c>
    </row>
    <row r="807" spans="1:12" x14ac:dyDescent="0.3">
      <c r="A807" t="s">
        <v>822</v>
      </c>
      <c r="B807" t="s">
        <v>137</v>
      </c>
      <c r="C807" t="s">
        <v>15</v>
      </c>
      <c r="D807" t="s">
        <v>32</v>
      </c>
      <c r="E807">
        <v>65</v>
      </c>
      <c r="F807" t="s">
        <v>12</v>
      </c>
      <c r="G807">
        <v>61</v>
      </c>
      <c r="H807">
        <v>68</v>
      </c>
      <c r="I807" t="str">
        <f>_xlfn.XLOOKUP($C807,dim_campaigns!$D$2:$D$3,dim_campaigns!$A$2:$A$3,"",0)</f>
        <v>Diwali</v>
      </c>
      <c r="J807" s="6">
        <f t="shared" si="24"/>
        <v>0.11475409836065574</v>
      </c>
      <c r="K807">
        <f t="shared" si="25"/>
        <v>6175</v>
      </c>
      <c r="L807" t="str">
        <f>VLOOKUP($B807,dim_stores!$A$1:$C$51,2,0)</f>
        <v>Mangalore</v>
      </c>
    </row>
    <row r="808" spans="1:12" x14ac:dyDescent="0.3">
      <c r="A808" t="s">
        <v>823</v>
      </c>
      <c r="B808" t="s">
        <v>75</v>
      </c>
      <c r="C808" t="s">
        <v>10</v>
      </c>
      <c r="D808" t="s">
        <v>53</v>
      </c>
      <c r="E808">
        <v>860</v>
      </c>
      <c r="F808" t="s">
        <v>54</v>
      </c>
      <c r="G808">
        <v>457</v>
      </c>
      <c r="H808">
        <v>548</v>
      </c>
      <c r="I808" t="str">
        <f>_xlfn.XLOOKUP($C808,dim_campaigns!$D$2:$D$3,dim_campaigns!$A$2:$A$3,"",0)</f>
        <v>Sankranti</v>
      </c>
      <c r="J808" s="6">
        <f t="shared" si="24"/>
        <v>0.19912472647702406</v>
      </c>
      <c r="K808">
        <f t="shared" si="25"/>
        <v>708777.60000000009</v>
      </c>
      <c r="L808" t="str">
        <f>VLOOKUP($B808,dim_stores!$A$1:$C$51,2,0)</f>
        <v>Madurai</v>
      </c>
    </row>
    <row r="809" spans="1:12" x14ac:dyDescent="0.3">
      <c r="A809" t="s">
        <v>824</v>
      </c>
      <c r="B809" t="s">
        <v>52</v>
      </c>
      <c r="C809" t="s">
        <v>15</v>
      </c>
      <c r="D809" t="s">
        <v>51</v>
      </c>
      <c r="E809">
        <v>290</v>
      </c>
      <c r="F809" t="s">
        <v>17</v>
      </c>
      <c r="G809">
        <v>255</v>
      </c>
      <c r="H809">
        <v>196</v>
      </c>
      <c r="I809" t="str">
        <f>_xlfn.XLOOKUP($C809,dim_campaigns!$D$2:$D$3,dim_campaigns!$A$2:$A$3,"",0)</f>
        <v>Diwali</v>
      </c>
      <c r="J809" s="6">
        <f t="shared" si="24"/>
        <v>-0.23137254901960785</v>
      </c>
      <c r="K809">
        <f t="shared" si="25"/>
        <v>116580</v>
      </c>
      <c r="L809" t="str">
        <f>VLOOKUP($B809,dim_stores!$A$1:$C$51,2,0)</f>
        <v>Visakhapatnam</v>
      </c>
    </row>
    <row r="810" spans="1:12" x14ac:dyDescent="0.3">
      <c r="A810" t="s">
        <v>825</v>
      </c>
      <c r="B810" t="s">
        <v>23</v>
      </c>
      <c r="C810" t="s">
        <v>15</v>
      </c>
      <c r="D810" t="s">
        <v>43</v>
      </c>
      <c r="E810">
        <v>415</v>
      </c>
      <c r="F810" t="s">
        <v>17</v>
      </c>
      <c r="G810">
        <v>57</v>
      </c>
      <c r="H810">
        <v>44</v>
      </c>
      <c r="I810" t="str">
        <f>_xlfn.XLOOKUP($C810,dim_campaigns!$D$2:$D$3,dim_campaigns!$A$2:$A$3,"",0)</f>
        <v>Diwali</v>
      </c>
      <c r="J810" s="6">
        <f t="shared" si="24"/>
        <v>-0.22807017543859648</v>
      </c>
      <c r="K810">
        <f t="shared" si="25"/>
        <v>37350</v>
      </c>
      <c r="L810" t="str">
        <f>VLOOKUP($B810,dim_stores!$A$1:$C$51,2,0)</f>
        <v>Coimbatore</v>
      </c>
    </row>
    <row r="811" spans="1:12" x14ac:dyDescent="0.3">
      <c r="A811" t="s">
        <v>826</v>
      </c>
      <c r="B811" t="s">
        <v>110</v>
      </c>
      <c r="C811" t="s">
        <v>15</v>
      </c>
      <c r="D811" t="s">
        <v>38</v>
      </c>
      <c r="E811">
        <v>1190</v>
      </c>
      <c r="F811" t="s">
        <v>21</v>
      </c>
      <c r="G811">
        <v>45</v>
      </c>
      <c r="H811">
        <v>152</v>
      </c>
      <c r="I811" t="str">
        <f>_xlfn.XLOOKUP($C811,dim_campaigns!$D$2:$D$3,dim_campaigns!$A$2:$A$3,"",0)</f>
        <v>Diwali</v>
      </c>
      <c r="J811" s="6">
        <f t="shared" si="24"/>
        <v>2.3777777777777778</v>
      </c>
      <c r="K811">
        <f t="shared" si="25"/>
        <v>143990</v>
      </c>
      <c r="L811" t="str">
        <f>VLOOKUP($B811,dim_stores!$A$1:$C$51,2,0)</f>
        <v>Chennai</v>
      </c>
    </row>
    <row r="812" spans="1:12" x14ac:dyDescent="0.3">
      <c r="A812" t="s">
        <v>827</v>
      </c>
      <c r="B812" t="s">
        <v>190</v>
      </c>
      <c r="C812" t="s">
        <v>15</v>
      </c>
      <c r="D812" t="s">
        <v>35</v>
      </c>
      <c r="E812">
        <v>350</v>
      </c>
      <c r="F812" t="s">
        <v>21</v>
      </c>
      <c r="G812">
        <v>47</v>
      </c>
      <c r="H812">
        <v>161</v>
      </c>
      <c r="I812" t="str">
        <f>_xlfn.XLOOKUP($C812,dim_campaigns!$D$2:$D$3,dim_campaigns!$A$2:$A$3,"",0)</f>
        <v>Diwali</v>
      </c>
      <c r="J812" s="6">
        <f t="shared" si="24"/>
        <v>2.4255319148936172</v>
      </c>
      <c r="K812">
        <f t="shared" si="25"/>
        <v>44625</v>
      </c>
      <c r="L812" t="str">
        <f>VLOOKUP($B812,dim_stores!$A$1:$C$51,2,0)</f>
        <v>Visakhapatnam</v>
      </c>
    </row>
    <row r="813" spans="1:12" x14ac:dyDescent="0.3">
      <c r="A813" t="s">
        <v>828</v>
      </c>
      <c r="B813" t="s">
        <v>63</v>
      </c>
      <c r="C813" t="s">
        <v>10</v>
      </c>
      <c r="D813" t="s">
        <v>53</v>
      </c>
      <c r="E813">
        <v>860</v>
      </c>
      <c r="F813" t="s">
        <v>54</v>
      </c>
      <c r="G813">
        <v>387</v>
      </c>
      <c r="H813">
        <v>530</v>
      </c>
      <c r="I813" t="str">
        <f>_xlfn.XLOOKUP($C813,dim_campaigns!$D$2:$D$3,dim_campaigns!$A$2:$A$3,"",0)</f>
        <v>Sankranti</v>
      </c>
      <c r="J813" s="6">
        <f t="shared" si="24"/>
        <v>0.36950904392764861</v>
      </c>
      <c r="K813">
        <f t="shared" si="25"/>
        <v>638206</v>
      </c>
      <c r="L813" t="str">
        <f>VLOOKUP($B813,dim_stores!$A$1:$C$51,2,0)</f>
        <v>Visakhapatnam</v>
      </c>
    </row>
    <row r="814" spans="1:12" x14ac:dyDescent="0.3">
      <c r="A814" t="s">
        <v>829</v>
      </c>
      <c r="B814" t="s">
        <v>58</v>
      </c>
      <c r="C814" t="s">
        <v>15</v>
      </c>
      <c r="D814" t="s">
        <v>32</v>
      </c>
      <c r="E814">
        <v>65</v>
      </c>
      <c r="F814" t="s">
        <v>12</v>
      </c>
      <c r="G814">
        <v>141</v>
      </c>
      <c r="H814">
        <v>157</v>
      </c>
      <c r="I814" t="str">
        <f>_xlfn.XLOOKUP($C814,dim_campaigns!$D$2:$D$3,dim_campaigns!$A$2:$A$3,"",0)</f>
        <v>Diwali</v>
      </c>
      <c r="J814" s="6">
        <f t="shared" si="24"/>
        <v>0.11347517730496454</v>
      </c>
      <c r="K814">
        <f t="shared" si="25"/>
        <v>14267.5</v>
      </c>
      <c r="L814" t="str">
        <f>VLOOKUP($B814,dim_stores!$A$1:$C$51,2,0)</f>
        <v>Chennai</v>
      </c>
    </row>
    <row r="815" spans="1:12" x14ac:dyDescent="0.3">
      <c r="A815" t="s">
        <v>830</v>
      </c>
      <c r="B815" t="s">
        <v>96</v>
      </c>
      <c r="C815" t="s">
        <v>15</v>
      </c>
      <c r="D815" t="s">
        <v>20</v>
      </c>
      <c r="E815">
        <v>300</v>
      </c>
      <c r="F815" t="s">
        <v>21</v>
      </c>
      <c r="G815">
        <v>59</v>
      </c>
      <c r="H815">
        <v>233</v>
      </c>
      <c r="I815" t="str">
        <f>_xlfn.XLOOKUP($C815,dim_campaigns!$D$2:$D$3,dim_campaigns!$A$2:$A$3,"",0)</f>
        <v>Diwali</v>
      </c>
      <c r="J815" s="6">
        <f t="shared" si="24"/>
        <v>2.9491525423728815</v>
      </c>
      <c r="K815">
        <f t="shared" si="25"/>
        <v>52650</v>
      </c>
      <c r="L815" t="str">
        <f>VLOOKUP($B815,dim_stores!$A$1:$C$51,2,0)</f>
        <v>Mysuru</v>
      </c>
    </row>
    <row r="816" spans="1:12" x14ac:dyDescent="0.3">
      <c r="A816" t="s">
        <v>831</v>
      </c>
      <c r="B816" t="s">
        <v>75</v>
      </c>
      <c r="C816" t="s">
        <v>15</v>
      </c>
      <c r="D816" t="s">
        <v>28</v>
      </c>
      <c r="E816">
        <v>55</v>
      </c>
      <c r="F816" t="s">
        <v>17</v>
      </c>
      <c r="G816">
        <v>64</v>
      </c>
      <c r="H816">
        <v>58</v>
      </c>
      <c r="I816" t="str">
        <f>_xlfn.XLOOKUP($C816,dim_campaigns!$D$2:$D$3,dim_campaigns!$A$2:$A$3,"",0)</f>
        <v>Diwali</v>
      </c>
      <c r="J816" s="6">
        <f t="shared" si="24"/>
        <v>-9.375E-2</v>
      </c>
      <c r="K816">
        <f t="shared" si="25"/>
        <v>5912.5</v>
      </c>
      <c r="L816" t="str">
        <f>VLOOKUP($B816,dim_stores!$A$1:$C$51,2,0)</f>
        <v>Madurai</v>
      </c>
    </row>
    <row r="817" spans="1:12" x14ac:dyDescent="0.3">
      <c r="A817" t="s">
        <v>832</v>
      </c>
      <c r="B817" t="s">
        <v>123</v>
      </c>
      <c r="C817" t="s">
        <v>10</v>
      </c>
      <c r="D817" t="s">
        <v>11</v>
      </c>
      <c r="E817">
        <v>190</v>
      </c>
      <c r="F817" t="s">
        <v>12</v>
      </c>
      <c r="G817">
        <v>39</v>
      </c>
      <c r="H817">
        <v>55</v>
      </c>
      <c r="I817" t="str">
        <f>_xlfn.XLOOKUP($C817,dim_campaigns!$D$2:$D$3,dim_campaigns!$A$2:$A$3,"",0)</f>
        <v>Sankranti</v>
      </c>
      <c r="J817" s="6">
        <f t="shared" si="24"/>
        <v>0.41025641025641024</v>
      </c>
      <c r="K817">
        <f t="shared" si="25"/>
        <v>12635</v>
      </c>
      <c r="L817" t="str">
        <f>VLOOKUP($B817,dim_stores!$A$1:$C$51,2,0)</f>
        <v>Bengaluru</v>
      </c>
    </row>
    <row r="818" spans="1:12" x14ac:dyDescent="0.3">
      <c r="A818" t="s">
        <v>833</v>
      </c>
      <c r="B818" t="s">
        <v>78</v>
      </c>
      <c r="C818" t="s">
        <v>15</v>
      </c>
      <c r="D818" t="s">
        <v>85</v>
      </c>
      <c r="E818">
        <v>110</v>
      </c>
      <c r="F818" t="s">
        <v>12</v>
      </c>
      <c r="G818">
        <v>70</v>
      </c>
      <c r="H818">
        <v>87</v>
      </c>
      <c r="I818" t="str">
        <f>_xlfn.XLOOKUP($C818,dim_campaigns!$D$2:$D$3,dim_campaigns!$A$2:$A$3,"",0)</f>
        <v>Diwali</v>
      </c>
      <c r="J818" s="6">
        <f t="shared" si="24"/>
        <v>0.24285714285714285</v>
      </c>
      <c r="K818">
        <f t="shared" si="25"/>
        <v>12485</v>
      </c>
      <c r="L818" t="str">
        <f>VLOOKUP($B818,dim_stores!$A$1:$C$51,2,0)</f>
        <v>Mysuru</v>
      </c>
    </row>
    <row r="819" spans="1:12" x14ac:dyDescent="0.3">
      <c r="A819" t="s">
        <v>834</v>
      </c>
      <c r="B819" t="s">
        <v>63</v>
      </c>
      <c r="C819" t="s">
        <v>15</v>
      </c>
      <c r="D819" t="s">
        <v>51</v>
      </c>
      <c r="E819">
        <v>290</v>
      </c>
      <c r="F819" t="s">
        <v>17</v>
      </c>
      <c r="G819">
        <v>252</v>
      </c>
      <c r="H819">
        <v>196</v>
      </c>
      <c r="I819" t="str">
        <f>_xlfn.XLOOKUP($C819,dim_campaigns!$D$2:$D$3,dim_campaigns!$A$2:$A$3,"",0)</f>
        <v>Diwali</v>
      </c>
      <c r="J819" s="6">
        <f t="shared" si="24"/>
        <v>-0.22222222222222221</v>
      </c>
      <c r="K819">
        <f t="shared" si="25"/>
        <v>115710</v>
      </c>
      <c r="L819" t="str">
        <f>VLOOKUP($B819,dim_stores!$A$1:$C$51,2,0)</f>
        <v>Visakhapatnam</v>
      </c>
    </row>
    <row r="820" spans="1:12" x14ac:dyDescent="0.3">
      <c r="A820" t="s">
        <v>835</v>
      </c>
      <c r="B820" t="s">
        <v>37</v>
      </c>
      <c r="C820" t="s">
        <v>15</v>
      </c>
      <c r="D820" t="s">
        <v>35</v>
      </c>
      <c r="E820">
        <v>350</v>
      </c>
      <c r="F820" t="s">
        <v>21</v>
      </c>
      <c r="G820">
        <v>42</v>
      </c>
      <c r="H820">
        <v>128</v>
      </c>
      <c r="I820" t="str">
        <f>_xlfn.XLOOKUP($C820,dim_campaigns!$D$2:$D$3,dim_campaigns!$A$2:$A$3,"",0)</f>
        <v>Diwali</v>
      </c>
      <c r="J820" s="6">
        <f t="shared" si="24"/>
        <v>2.0476190476190474</v>
      </c>
      <c r="K820">
        <f t="shared" si="25"/>
        <v>37100</v>
      </c>
      <c r="L820" t="str">
        <f>VLOOKUP($B820,dim_stores!$A$1:$C$51,2,0)</f>
        <v>Coimbatore</v>
      </c>
    </row>
    <row r="821" spans="1:12" x14ac:dyDescent="0.3">
      <c r="A821" t="s">
        <v>836</v>
      </c>
      <c r="B821" t="s">
        <v>93</v>
      </c>
      <c r="C821" t="s">
        <v>15</v>
      </c>
      <c r="D821" t="s">
        <v>11</v>
      </c>
      <c r="E821">
        <v>190</v>
      </c>
      <c r="F821" t="s">
        <v>12</v>
      </c>
      <c r="G821">
        <v>63</v>
      </c>
      <c r="H821">
        <v>81</v>
      </c>
      <c r="I821" t="str">
        <f>_xlfn.XLOOKUP($C821,dim_campaigns!$D$2:$D$3,dim_campaigns!$A$2:$A$3,"",0)</f>
        <v>Diwali</v>
      </c>
      <c r="J821" s="6">
        <f t="shared" si="24"/>
        <v>0.2857142857142857</v>
      </c>
      <c r="K821">
        <f t="shared" si="25"/>
        <v>19665</v>
      </c>
      <c r="L821" t="str">
        <f>VLOOKUP($B821,dim_stores!$A$1:$C$51,2,0)</f>
        <v>Bengaluru</v>
      </c>
    </row>
    <row r="822" spans="1:12" x14ac:dyDescent="0.3">
      <c r="A822" t="s">
        <v>837</v>
      </c>
      <c r="B822" t="s">
        <v>81</v>
      </c>
      <c r="C822" t="s">
        <v>15</v>
      </c>
      <c r="D822" t="s">
        <v>61</v>
      </c>
      <c r="E822">
        <v>172</v>
      </c>
      <c r="F822" t="s">
        <v>54</v>
      </c>
      <c r="G822">
        <v>201</v>
      </c>
      <c r="H822">
        <v>305</v>
      </c>
      <c r="I822" t="str">
        <f>_xlfn.XLOOKUP($C822,dim_campaigns!$D$2:$D$3,dim_campaigns!$A$2:$A$3,"",0)</f>
        <v>Diwali</v>
      </c>
      <c r="J822" s="6">
        <f t="shared" si="24"/>
        <v>0.51741293532338306</v>
      </c>
      <c r="K822">
        <f t="shared" si="25"/>
        <v>69720.2</v>
      </c>
      <c r="L822" t="str">
        <f>VLOOKUP($B822,dim_stores!$A$1:$C$51,2,0)</f>
        <v>Madurai</v>
      </c>
    </row>
    <row r="823" spans="1:12" x14ac:dyDescent="0.3">
      <c r="A823" t="s">
        <v>838</v>
      </c>
      <c r="B823" t="s">
        <v>58</v>
      </c>
      <c r="C823" t="s">
        <v>10</v>
      </c>
      <c r="D823" t="s">
        <v>11</v>
      </c>
      <c r="E823">
        <v>190</v>
      </c>
      <c r="F823" t="s">
        <v>12</v>
      </c>
      <c r="G823">
        <v>34</v>
      </c>
      <c r="H823">
        <v>39</v>
      </c>
      <c r="I823" t="str">
        <f>_xlfn.XLOOKUP($C823,dim_campaigns!$D$2:$D$3,dim_campaigns!$A$2:$A$3,"",0)</f>
        <v>Sankranti</v>
      </c>
      <c r="J823" s="6">
        <f t="shared" si="24"/>
        <v>0.14705882352941177</v>
      </c>
      <c r="K823">
        <f t="shared" si="25"/>
        <v>10165</v>
      </c>
      <c r="L823" t="str">
        <f>VLOOKUP($B823,dim_stores!$A$1:$C$51,2,0)</f>
        <v>Chennai</v>
      </c>
    </row>
    <row r="824" spans="1:12" x14ac:dyDescent="0.3">
      <c r="A824" t="s">
        <v>839</v>
      </c>
      <c r="B824" t="s">
        <v>142</v>
      </c>
      <c r="C824" t="s">
        <v>10</v>
      </c>
      <c r="D824" t="s">
        <v>16</v>
      </c>
      <c r="E824">
        <v>200</v>
      </c>
      <c r="F824" t="s">
        <v>21</v>
      </c>
      <c r="G824">
        <v>255</v>
      </c>
      <c r="H824">
        <v>1009</v>
      </c>
      <c r="I824" t="str">
        <f>_xlfn.XLOOKUP($C824,dim_campaigns!$D$2:$D$3,dim_campaigns!$A$2:$A$3,"",0)</f>
        <v>Sankranti</v>
      </c>
      <c r="J824" s="6">
        <f t="shared" si="24"/>
        <v>2.9568627450980394</v>
      </c>
      <c r="K824">
        <f t="shared" si="25"/>
        <v>151900</v>
      </c>
      <c r="L824" t="str">
        <f>VLOOKUP($B824,dim_stores!$A$1:$C$51,2,0)</f>
        <v>Madurai</v>
      </c>
    </row>
    <row r="825" spans="1:12" x14ac:dyDescent="0.3">
      <c r="A825" t="s">
        <v>840</v>
      </c>
      <c r="B825" t="s">
        <v>50</v>
      </c>
      <c r="C825" t="s">
        <v>15</v>
      </c>
      <c r="D825" t="s">
        <v>16</v>
      </c>
      <c r="E825">
        <v>156</v>
      </c>
      <c r="F825" t="s">
        <v>17</v>
      </c>
      <c r="G825">
        <v>390</v>
      </c>
      <c r="H825">
        <v>308</v>
      </c>
      <c r="I825" t="str">
        <f>_xlfn.XLOOKUP($C825,dim_campaigns!$D$2:$D$3,dim_campaigns!$A$2:$A$3,"",0)</f>
        <v>Diwali</v>
      </c>
      <c r="J825" s="6">
        <f t="shared" si="24"/>
        <v>-0.21025641025641026</v>
      </c>
      <c r="K825">
        <f t="shared" si="25"/>
        <v>96876</v>
      </c>
      <c r="L825" t="str">
        <f>VLOOKUP($B825,dim_stores!$A$1:$C$51,2,0)</f>
        <v>Bengaluru</v>
      </c>
    </row>
    <row r="826" spans="1:12" x14ac:dyDescent="0.3">
      <c r="A826" t="s">
        <v>841</v>
      </c>
      <c r="B826" t="s">
        <v>58</v>
      </c>
      <c r="C826" t="s">
        <v>15</v>
      </c>
      <c r="D826" t="s">
        <v>28</v>
      </c>
      <c r="E826">
        <v>55</v>
      </c>
      <c r="F826" t="s">
        <v>17</v>
      </c>
      <c r="G826">
        <v>127</v>
      </c>
      <c r="H826">
        <v>109</v>
      </c>
      <c r="I826" t="str">
        <f>_xlfn.XLOOKUP($C826,dim_campaigns!$D$2:$D$3,dim_campaigns!$A$2:$A$3,"",0)</f>
        <v>Diwali</v>
      </c>
      <c r="J826" s="6">
        <f t="shared" si="24"/>
        <v>-0.14173228346456693</v>
      </c>
      <c r="K826">
        <f t="shared" si="25"/>
        <v>11481.25</v>
      </c>
      <c r="L826" t="str">
        <f>VLOOKUP($B826,dim_stores!$A$1:$C$51,2,0)</f>
        <v>Chennai</v>
      </c>
    </row>
    <row r="827" spans="1:12" x14ac:dyDescent="0.3">
      <c r="A827" t="s">
        <v>842</v>
      </c>
      <c r="B827" t="s">
        <v>193</v>
      </c>
      <c r="C827" t="s">
        <v>10</v>
      </c>
      <c r="D827" t="s">
        <v>28</v>
      </c>
      <c r="E827">
        <v>55</v>
      </c>
      <c r="F827" t="s">
        <v>17</v>
      </c>
      <c r="G827">
        <v>24</v>
      </c>
      <c r="H827">
        <v>19</v>
      </c>
      <c r="I827" t="str">
        <f>_xlfn.XLOOKUP($C827,dim_campaigns!$D$2:$D$3,dim_campaigns!$A$2:$A$3,"",0)</f>
        <v>Sankranti</v>
      </c>
      <c r="J827" s="6">
        <f t="shared" si="24"/>
        <v>-0.20833333333333334</v>
      </c>
      <c r="K827">
        <f t="shared" si="25"/>
        <v>2103.75</v>
      </c>
      <c r="L827" t="str">
        <f>VLOOKUP($B827,dim_stores!$A$1:$C$51,2,0)</f>
        <v>Bengaluru</v>
      </c>
    </row>
    <row r="828" spans="1:12" x14ac:dyDescent="0.3">
      <c r="A828" t="s">
        <v>843</v>
      </c>
      <c r="B828" t="s">
        <v>95</v>
      </c>
      <c r="C828" t="s">
        <v>15</v>
      </c>
      <c r="D828" t="s">
        <v>28</v>
      </c>
      <c r="E828">
        <v>55</v>
      </c>
      <c r="F828" t="s">
        <v>17</v>
      </c>
      <c r="G828">
        <v>110</v>
      </c>
      <c r="H828">
        <v>86</v>
      </c>
      <c r="I828" t="str">
        <f>_xlfn.XLOOKUP($C828,dim_campaigns!$D$2:$D$3,dim_campaigns!$A$2:$A$3,"",0)</f>
        <v>Diwali</v>
      </c>
      <c r="J828" s="6">
        <f t="shared" si="24"/>
        <v>-0.21818181818181817</v>
      </c>
      <c r="K828">
        <f t="shared" si="25"/>
        <v>9597.5</v>
      </c>
      <c r="L828" t="str">
        <f>VLOOKUP($B828,dim_stores!$A$1:$C$51,2,0)</f>
        <v>Hyderabad</v>
      </c>
    </row>
    <row r="829" spans="1:12" x14ac:dyDescent="0.3">
      <c r="A829" t="s">
        <v>844</v>
      </c>
      <c r="B829" t="s">
        <v>34</v>
      </c>
      <c r="C829" t="s">
        <v>15</v>
      </c>
      <c r="D829" t="s">
        <v>38</v>
      </c>
      <c r="E829">
        <v>1190</v>
      </c>
      <c r="F829" t="s">
        <v>21</v>
      </c>
      <c r="G829">
        <v>63</v>
      </c>
      <c r="H829">
        <v>208</v>
      </c>
      <c r="I829" t="str">
        <f>_xlfn.XLOOKUP($C829,dim_campaigns!$D$2:$D$3,dim_campaigns!$A$2:$A$3,"",0)</f>
        <v>Diwali</v>
      </c>
      <c r="J829" s="6">
        <f t="shared" si="24"/>
        <v>2.3015873015873014</v>
      </c>
      <c r="K829">
        <f t="shared" si="25"/>
        <v>198730</v>
      </c>
      <c r="L829" t="str">
        <f>VLOOKUP($B829,dim_stores!$A$1:$C$51,2,0)</f>
        <v>Hyderabad</v>
      </c>
    </row>
    <row r="830" spans="1:12" x14ac:dyDescent="0.3">
      <c r="A830" t="s">
        <v>845</v>
      </c>
      <c r="B830" t="s">
        <v>103</v>
      </c>
      <c r="C830" t="s">
        <v>10</v>
      </c>
      <c r="D830" t="s">
        <v>43</v>
      </c>
      <c r="E830">
        <v>415</v>
      </c>
      <c r="F830" t="s">
        <v>17</v>
      </c>
      <c r="G830">
        <v>27</v>
      </c>
      <c r="H830">
        <v>22</v>
      </c>
      <c r="I830" t="str">
        <f>_xlfn.XLOOKUP($C830,dim_campaigns!$D$2:$D$3,dim_campaigns!$A$2:$A$3,"",0)</f>
        <v>Sankranti</v>
      </c>
      <c r="J830" s="6">
        <f t="shared" si="24"/>
        <v>-0.18518518518518517</v>
      </c>
      <c r="K830">
        <f t="shared" si="25"/>
        <v>18052.5</v>
      </c>
      <c r="L830" t="str">
        <f>VLOOKUP($B830,dim_stores!$A$1:$C$51,2,0)</f>
        <v>Hyderabad</v>
      </c>
    </row>
    <row r="831" spans="1:12" x14ac:dyDescent="0.3">
      <c r="A831" t="s">
        <v>846</v>
      </c>
      <c r="B831" t="s">
        <v>75</v>
      </c>
      <c r="C831" t="s">
        <v>10</v>
      </c>
      <c r="D831" t="s">
        <v>61</v>
      </c>
      <c r="E831">
        <v>172</v>
      </c>
      <c r="F831" t="s">
        <v>54</v>
      </c>
      <c r="G831">
        <v>214</v>
      </c>
      <c r="H831">
        <v>267</v>
      </c>
      <c r="I831" t="str">
        <f>_xlfn.XLOOKUP($C831,dim_campaigns!$D$2:$D$3,dim_campaigns!$A$2:$A$3,"",0)</f>
        <v>Sankranti</v>
      </c>
      <c r="J831" s="6">
        <f t="shared" si="24"/>
        <v>0.24766355140186916</v>
      </c>
      <c r="K831">
        <f t="shared" si="25"/>
        <v>67577.08</v>
      </c>
      <c r="L831" t="str">
        <f>VLOOKUP($B831,dim_stores!$A$1:$C$51,2,0)</f>
        <v>Madurai</v>
      </c>
    </row>
    <row r="832" spans="1:12" x14ac:dyDescent="0.3">
      <c r="A832" t="s">
        <v>847</v>
      </c>
      <c r="B832" t="s">
        <v>123</v>
      </c>
      <c r="C832" t="s">
        <v>15</v>
      </c>
      <c r="D832" t="s">
        <v>53</v>
      </c>
      <c r="E832">
        <v>860</v>
      </c>
      <c r="F832" t="s">
        <v>54</v>
      </c>
      <c r="G832">
        <v>358</v>
      </c>
      <c r="H832">
        <v>537</v>
      </c>
      <c r="I832" t="str">
        <f>_xlfn.XLOOKUP($C832,dim_campaigns!$D$2:$D$3,dim_campaigns!$A$2:$A$3,"",0)</f>
        <v>Diwali</v>
      </c>
      <c r="J832" s="6">
        <f t="shared" si="24"/>
        <v>0.5</v>
      </c>
      <c r="K832">
        <f t="shared" si="25"/>
        <v>617299.4</v>
      </c>
      <c r="L832" t="str">
        <f>VLOOKUP($B832,dim_stores!$A$1:$C$51,2,0)</f>
        <v>Bengaluru</v>
      </c>
    </row>
    <row r="833" spans="1:12" x14ac:dyDescent="0.3">
      <c r="A833" t="s">
        <v>848</v>
      </c>
      <c r="B833" t="s">
        <v>190</v>
      </c>
      <c r="C833" t="s">
        <v>15</v>
      </c>
      <c r="D833" t="s">
        <v>51</v>
      </c>
      <c r="E833">
        <v>290</v>
      </c>
      <c r="F833" t="s">
        <v>17</v>
      </c>
      <c r="G833">
        <v>201</v>
      </c>
      <c r="H833">
        <v>174</v>
      </c>
      <c r="I833" t="str">
        <f>_xlfn.XLOOKUP($C833,dim_campaigns!$D$2:$D$3,dim_campaigns!$A$2:$A$3,"",0)</f>
        <v>Diwali</v>
      </c>
      <c r="J833" s="6">
        <f t="shared" si="24"/>
        <v>-0.13432835820895522</v>
      </c>
      <c r="K833">
        <f t="shared" si="25"/>
        <v>96135</v>
      </c>
      <c r="L833" t="str">
        <f>VLOOKUP($B833,dim_stores!$A$1:$C$51,2,0)</f>
        <v>Visakhapatnam</v>
      </c>
    </row>
    <row r="834" spans="1:12" x14ac:dyDescent="0.3">
      <c r="A834" t="s">
        <v>849</v>
      </c>
      <c r="B834" t="s">
        <v>78</v>
      </c>
      <c r="C834" t="s">
        <v>15</v>
      </c>
      <c r="D834" t="s">
        <v>16</v>
      </c>
      <c r="E834">
        <v>156</v>
      </c>
      <c r="F834" t="s">
        <v>17</v>
      </c>
      <c r="G834">
        <v>301</v>
      </c>
      <c r="H834">
        <v>264</v>
      </c>
      <c r="I834" t="str">
        <f>_xlfn.XLOOKUP($C834,dim_campaigns!$D$2:$D$3,dim_campaigns!$A$2:$A$3,"",0)</f>
        <v>Diwali</v>
      </c>
      <c r="J834" s="6">
        <f t="shared" si="24"/>
        <v>-0.12292358803986711</v>
      </c>
      <c r="K834">
        <f t="shared" si="25"/>
        <v>77844</v>
      </c>
      <c r="L834" t="str">
        <f>VLOOKUP($B834,dim_stores!$A$1:$C$51,2,0)</f>
        <v>Mysuru</v>
      </c>
    </row>
    <row r="835" spans="1:12" x14ac:dyDescent="0.3">
      <c r="A835" t="s">
        <v>850</v>
      </c>
      <c r="B835" t="s">
        <v>78</v>
      </c>
      <c r="C835" t="s">
        <v>10</v>
      </c>
      <c r="D835" t="s">
        <v>48</v>
      </c>
      <c r="E835">
        <v>62</v>
      </c>
      <c r="F835" t="s">
        <v>12</v>
      </c>
      <c r="G835">
        <v>66</v>
      </c>
      <c r="H835">
        <v>92</v>
      </c>
      <c r="I835" t="str">
        <f>_xlfn.XLOOKUP($C835,dim_campaigns!$D$2:$D$3,dim_campaigns!$A$2:$A$3,"",0)</f>
        <v>Sankranti</v>
      </c>
      <c r="J835" s="6">
        <f t="shared" ref="J835:J898" si="26">IFERROR((H835-G835)/G835,0)</f>
        <v>0.39393939393939392</v>
      </c>
      <c r="K835">
        <f t="shared" ref="K835:K898" si="27">E835*G835+(E835-IF(F835="500 Cashback",500,IF(F835="BOGOF",E835*50%,IF(F835="25% OFF",E835*25%,IF(F835="33% OFF",E835*33%,IF(F835="50% OFF",E835*50%,0))))))*H835</f>
        <v>6944</v>
      </c>
      <c r="L835" t="str">
        <f>VLOOKUP($B835,dim_stores!$A$1:$C$51,2,0)</f>
        <v>Mysuru</v>
      </c>
    </row>
    <row r="836" spans="1:12" x14ac:dyDescent="0.3">
      <c r="A836" t="s">
        <v>851</v>
      </c>
      <c r="B836" t="s">
        <v>50</v>
      </c>
      <c r="C836" t="s">
        <v>10</v>
      </c>
      <c r="D836" t="s">
        <v>35</v>
      </c>
      <c r="E836">
        <v>350</v>
      </c>
      <c r="F836" t="s">
        <v>21</v>
      </c>
      <c r="G836">
        <v>118</v>
      </c>
      <c r="H836">
        <v>455</v>
      </c>
      <c r="I836" t="str">
        <f>_xlfn.XLOOKUP($C836,dim_campaigns!$D$2:$D$3,dim_campaigns!$A$2:$A$3,"",0)</f>
        <v>Sankranti</v>
      </c>
      <c r="J836" s="6">
        <f t="shared" si="26"/>
        <v>2.8559322033898304</v>
      </c>
      <c r="K836">
        <f t="shared" si="27"/>
        <v>120925</v>
      </c>
      <c r="L836" t="str">
        <f>VLOOKUP($B836,dim_stores!$A$1:$C$51,2,0)</f>
        <v>Bengaluru</v>
      </c>
    </row>
    <row r="837" spans="1:12" x14ac:dyDescent="0.3">
      <c r="A837" t="s">
        <v>852</v>
      </c>
      <c r="B837" t="s">
        <v>207</v>
      </c>
      <c r="C837" t="s">
        <v>10</v>
      </c>
      <c r="D837" t="s">
        <v>48</v>
      </c>
      <c r="E837">
        <v>62</v>
      </c>
      <c r="F837" t="s">
        <v>12</v>
      </c>
      <c r="G837">
        <v>57</v>
      </c>
      <c r="H837">
        <v>90</v>
      </c>
      <c r="I837" t="str">
        <f>_xlfn.XLOOKUP($C837,dim_campaigns!$D$2:$D$3,dim_campaigns!$A$2:$A$3,"",0)</f>
        <v>Sankranti</v>
      </c>
      <c r="J837" s="6">
        <f t="shared" si="26"/>
        <v>0.57894736842105265</v>
      </c>
      <c r="K837">
        <f t="shared" si="27"/>
        <v>6324</v>
      </c>
      <c r="L837" t="str">
        <f>VLOOKUP($B837,dim_stores!$A$1:$C$51,2,0)</f>
        <v>Hyderabad</v>
      </c>
    </row>
    <row r="838" spans="1:12" x14ac:dyDescent="0.3">
      <c r="A838" t="s">
        <v>853</v>
      </c>
      <c r="B838" t="s">
        <v>65</v>
      </c>
      <c r="C838" t="s">
        <v>15</v>
      </c>
      <c r="D838" t="s">
        <v>24</v>
      </c>
      <c r="E838">
        <v>3000</v>
      </c>
      <c r="F838" t="s">
        <v>25</v>
      </c>
      <c r="G838">
        <v>357</v>
      </c>
      <c r="H838">
        <v>1046</v>
      </c>
      <c r="I838" t="str">
        <f>_xlfn.XLOOKUP($C838,dim_campaigns!$D$2:$D$3,dim_campaigns!$A$2:$A$3,"",0)</f>
        <v>Diwali</v>
      </c>
      <c r="J838" s="6">
        <f t="shared" si="26"/>
        <v>1.9299719887955182</v>
      </c>
      <c r="K838">
        <f t="shared" si="27"/>
        <v>3686000</v>
      </c>
      <c r="L838" t="str">
        <f>VLOOKUP($B838,dim_stores!$A$1:$C$51,2,0)</f>
        <v>Hyderabad</v>
      </c>
    </row>
    <row r="839" spans="1:12" x14ac:dyDescent="0.3">
      <c r="A839" t="s">
        <v>854</v>
      </c>
      <c r="B839" t="s">
        <v>193</v>
      </c>
      <c r="C839" t="s">
        <v>15</v>
      </c>
      <c r="D839" t="s">
        <v>43</v>
      </c>
      <c r="E839">
        <v>415</v>
      </c>
      <c r="F839" t="s">
        <v>17</v>
      </c>
      <c r="G839">
        <v>92</v>
      </c>
      <c r="H839">
        <v>81</v>
      </c>
      <c r="I839" t="str">
        <f>_xlfn.XLOOKUP($C839,dim_campaigns!$D$2:$D$3,dim_campaigns!$A$2:$A$3,"",0)</f>
        <v>Diwali</v>
      </c>
      <c r="J839" s="6">
        <f t="shared" si="26"/>
        <v>-0.11956521739130435</v>
      </c>
      <c r="K839">
        <f t="shared" si="27"/>
        <v>63391.25</v>
      </c>
      <c r="L839" t="str">
        <f>VLOOKUP($B839,dim_stores!$A$1:$C$51,2,0)</f>
        <v>Bengaluru</v>
      </c>
    </row>
    <row r="840" spans="1:12" x14ac:dyDescent="0.3">
      <c r="A840" t="s">
        <v>855</v>
      </c>
      <c r="B840" t="s">
        <v>60</v>
      </c>
      <c r="C840" t="s">
        <v>15</v>
      </c>
      <c r="D840" t="s">
        <v>85</v>
      </c>
      <c r="E840">
        <v>110</v>
      </c>
      <c r="F840" t="s">
        <v>12</v>
      </c>
      <c r="G840">
        <v>33</v>
      </c>
      <c r="H840">
        <v>43</v>
      </c>
      <c r="I840" t="str">
        <f>_xlfn.XLOOKUP($C840,dim_campaigns!$D$2:$D$3,dim_campaigns!$A$2:$A$3,"",0)</f>
        <v>Diwali</v>
      </c>
      <c r="J840" s="6">
        <f t="shared" si="26"/>
        <v>0.30303030303030304</v>
      </c>
      <c r="K840">
        <f t="shared" si="27"/>
        <v>5995</v>
      </c>
      <c r="L840" t="str">
        <f>VLOOKUP($B840,dim_stores!$A$1:$C$51,2,0)</f>
        <v>Trivandrum</v>
      </c>
    </row>
    <row r="841" spans="1:12" x14ac:dyDescent="0.3">
      <c r="A841" t="s">
        <v>856</v>
      </c>
      <c r="B841" t="s">
        <v>212</v>
      </c>
      <c r="C841" t="s">
        <v>15</v>
      </c>
      <c r="D841" t="s">
        <v>38</v>
      </c>
      <c r="E841">
        <v>1190</v>
      </c>
      <c r="F841" t="s">
        <v>21</v>
      </c>
      <c r="G841">
        <v>49</v>
      </c>
      <c r="H841">
        <v>186</v>
      </c>
      <c r="I841" t="str">
        <f>_xlfn.XLOOKUP($C841,dim_campaigns!$D$2:$D$3,dim_campaigns!$A$2:$A$3,"",0)</f>
        <v>Diwali</v>
      </c>
      <c r="J841" s="6">
        <f t="shared" si="26"/>
        <v>2.795918367346939</v>
      </c>
      <c r="K841">
        <f t="shared" si="27"/>
        <v>168980</v>
      </c>
      <c r="L841" t="str">
        <f>VLOOKUP($B841,dim_stores!$A$1:$C$51,2,0)</f>
        <v>Bengaluru</v>
      </c>
    </row>
    <row r="842" spans="1:12" x14ac:dyDescent="0.3">
      <c r="A842" t="s">
        <v>857</v>
      </c>
      <c r="B842" t="s">
        <v>91</v>
      </c>
      <c r="C842" t="s">
        <v>15</v>
      </c>
      <c r="D842" t="s">
        <v>11</v>
      </c>
      <c r="E842">
        <v>190</v>
      </c>
      <c r="F842" t="s">
        <v>12</v>
      </c>
      <c r="G842">
        <v>80</v>
      </c>
      <c r="H842">
        <v>124</v>
      </c>
      <c r="I842" t="str">
        <f>_xlfn.XLOOKUP($C842,dim_campaigns!$D$2:$D$3,dim_campaigns!$A$2:$A$3,"",0)</f>
        <v>Diwali</v>
      </c>
      <c r="J842" s="6">
        <f t="shared" si="26"/>
        <v>0.55000000000000004</v>
      </c>
      <c r="K842">
        <f t="shared" si="27"/>
        <v>26980</v>
      </c>
      <c r="L842" t="str">
        <f>VLOOKUP($B842,dim_stores!$A$1:$C$51,2,0)</f>
        <v>Hyderabad</v>
      </c>
    </row>
    <row r="843" spans="1:12" x14ac:dyDescent="0.3">
      <c r="A843" t="s">
        <v>858</v>
      </c>
      <c r="B843" t="s">
        <v>193</v>
      </c>
      <c r="C843" t="s">
        <v>15</v>
      </c>
      <c r="D843" t="s">
        <v>20</v>
      </c>
      <c r="E843">
        <v>300</v>
      </c>
      <c r="F843" t="s">
        <v>21</v>
      </c>
      <c r="G843">
        <v>56</v>
      </c>
      <c r="H843">
        <v>196</v>
      </c>
      <c r="I843" t="str">
        <f>_xlfn.XLOOKUP($C843,dim_campaigns!$D$2:$D$3,dim_campaigns!$A$2:$A$3,"",0)</f>
        <v>Diwali</v>
      </c>
      <c r="J843" s="6">
        <f t="shared" si="26"/>
        <v>2.5</v>
      </c>
      <c r="K843">
        <f t="shared" si="27"/>
        <v>46200</v>
      </c>
      <c r="L843" t="str">
        <f>VLOOKUP($B843,dim_stores!$A$1:$C$51,2,0)</f>
        <v>Bengaluru</v>
      </c>
    </row>
    <row r="844" spans="1:12" x14ac:dyDescent="0.3">
      <c r="A844" t="s">
        <v>859</v>
      </c>
      <c r="B844" t="s">
        <v>115</v>
      </c>
      <c r="C844" t="s">
        <v>10</v>
      </c>
      <c r="D844" t="s">
        <v>11</v>
      </c>
      <c r="E844">
        <v>190</v>
      </c>
      <c r="F844" t="s">
        <v>12</v>
      </c>
      <c r="G844">
        <v>52</v>
      </c>
      <c r="H844">
        <v>73</v>
      </c>
      <c r="I844" t="str">
        <f>_xlfn.XLOOKUP($C844,dim_campaigns!$D$2:$D$3,dim_campaigns!$A$2:$A$3,"",0)</f>
        <v>Sankranti</v>
      </c>
      <c r="J844" s="6">
        <f t="shared" si="26"/>
        <v>0.40384615384615385</v>
      </c>
      <c r="K844">
        <f t="shared" si="27"/>
        <v>16815</v>
      </c>
      <c r="L844" t="str">
        <f>VLOOKUP($B844,dim_stores!$A$1:$C$51,2,0)</f>
        <v>Bengaluru</v>
      </c>
    </row>
    <row r="845" spans="1:12" x14ac:dyDescent="0.3">
      <c r="A845" t="s">
        <v>860</v>
      </c>
      <c r="B845" t="s">
        <v>67</v>
      </c>
      <c r="C845" t="s">
        <v>10</v>
      </c>
      <c r="D845" t="s">
        <v>68</v>
      </c>
      <c r="E845">
        <v>1020</v>
      </c>
      <c r="F845" t="s">
        <v>21</v>
      </c>
      <c r="G845">
        <v>85</v>
      </c>
      <c r="H845">
        <v>350</v>
      </c>
      <c r="I845" t="str">
        <f>_xlfn.XLOOKUP($C845,dim_campaigns!$D$2:$D$3,dim_campaigns!$A$2:$A$3,"",0)</f>
        <v>Sankranti</v>
      </c>
      <c r="J845" s="6">
        <f t="shared" si="26"/>
        <v>3.1176470588235294</v>
      </c>
      <c r="K845">
        <f t="shared" si="27"/>
        <v>265200</v>
      </c>
      <c r="L845" t="str">
        <f>VLOOKUP($B845,dim_stores!$A$1:$C$51,2,0)</f>
        <v>Bengaluru</v>
      </c>
    </row>
    <row r="846" spans="1:12" x14ac:dyDescent="0.3">
      <c r="A846" t="s">
        <v>861</v>
      </c>
      <c r="B846" t="s">
        <v>47</v>
      </c>
      <c r="C846" t="s">
        <v>15</v>
      </c>
      <c r="D846" t="s">
        <v>85</v>
      </c>
      <c r="E846">
        <v>110</v>
      </c>
      <c r="F846" t="s">
        <v>12</v>
      </c>
      <c r="G846">
        <v>66</v>
      </c>
      <c r="H846">
        <v>82</v>
      </c>
      <c r="I846" t="str">
        <f>_xlfn.XLOOKUP($C846,dim_campaigns!$D$2:$D$3,dim_campaigns!$A$2:$A$3,"",0)</f>
        <v>Diwali</v>
      </c>
      <c r="J846" s="6">
        <f t="shared" si="26"/>
        <v>0.24242424242424243</v>
      </c>
      <c r="K846">
        <f t="shared" si="27"/>
        <v>11770</v>
      </c>
      <c r="L846" t="str">
        <f>VLOOKUP($B846,dim_stores!$A$1:$C$51,2,0)</f>
        <v>Chennai</v>
      </c>
    </row>
    <row r="847" spans="1:12" x14ac:dyDescent="0.3">
      <c r="A847" t="s">
        <v>862</v>
      </c>
      <c r="B847" t="s">
        <v>161</v>
      </c>
      <c r="C847" t="s">
        <v>10</v>
      </c>
      <c r="D847" t="s">
        <v>38</v>
      </c>
      <c r="E847">
        <v>1190</v>
      </c>
      <c r="F847" t="s">
        <v>21</v>
      </c>
      <c r="G847">
        <v>42</v>
      </c>
      <c r="H847">
        <v>186</v>
      </c>
      <c r="I847" t="str">
        <f>_xlfn.XLOOKUP($C847,dim_campaigns!$D$2:$D$3,dim_campaigns!$A$2:$A$3,"",0)</f>
        <v>Sankranti</v>
      </c>
      <c r="J847" s="6">
        <f t="shared" si="26"/>
        <v>3.4285714285714284</v>
      </c>
      <c r="K847">
        <f t="shared" si="27"/>
        <v>160650</v>
      </c>
      <c r="L847" t="str">
        <f>VLOOKUP($B847,dim_stores!$A$1:$C$51,2,0)</f>
        <v>Chennai</v>
      </c>
    </row>
    <row r="848" spans="1:12" x14ac:dyDescent="0.3">
      <c r="A848" t="s">
        <v>863</v>
      </c>
      <c r="B848" t="s">
        <v>81</v>
      </c>
      <c r="C848" t="s">
        <v>10</v>
      </c>
      <c r="D848" t="s">
        <v>35</v>
      </c>
      <c r="E848">
        <v>350</v>
      </c>
      <c r="F848" t="s">
        <v>21</v>
      </c>
      <c r="G848">
        <v>90</v>
      </c>
      <c r="H848">
        <v>371</v>
      </c>
      <c r="I848" t="str">
        <f>_xlfn.XLOOKUP($C848,dim_campaigns!$D$2:$D$3,dim_campaigns!$A$2:$A$3,"",0)</f>
        <v>Sankranti</v>
      </c>
      <c r="J848" s="6">
        <f t="shared" si="26"/>
        <v>3.1222222222222222</v>
      </c>
      <c r="K848">
        <f t="shared" si="27"/>
        <v>96425</v>
      </c>
      <c r="L848" t="str">
        <f>VLOOKUP($B848,dim_stores!$A$1:$C$51,2,0)</f>
        <v>Madurai</v>
      </c>
    </row>
    <row r="849" spans="1:12" x14ac:dyDescent="0.3">
      <c r="A849" t="s">
        <v>864</v>
      </c>
      <c r="B849" t="s">
        <v>142</v>
      </c>
      <c r="C849" t="s">
        <v>10</v>
      </c>
      <c r="D849" t="s">
        <v>53</v>
      </c>
      <c r="E849">
        <v>860</v>
      </c>
      <c r="F849" t="s">
        <v>54</v>
      </c>
      <c r="G849">
        <v>289</v>
      </c>
      <c r="H849">
        <v>404</v>
      </c>
      <c r="I849" t="str">
        <f>_xlfn.XLOOKUP($C849,dim_campaigns!$D$2:$D$3,dim_campaigns!$A$2:$A$3,"",0)</f>
        <v>Sankranti</v>
      </c>
      <c r="J849" s="6">
        <f t="shared" si="26"/>
        <v>0.39792387543252594</v>
      </c>
      <c r="K849">
        <f t="shared" si="27"/>
        <v>481324.80000000005</v>
      </c>
      <c r="L849" t="str">
        <f>VLOOKUP($B849,dim_stores!$A$1:$C$51,2,0)</f>
        <v>Madurai</v>
      </c>
    </row>
    <row r="850" spans="1:12" x14ac:dyDescent="0.3">
      <c r="A850" t="s">
        <v>865</v>
      </c>
      <c r="B850" t="s">
        <v>37</v>
      </c>
      <c r="C850" t="s">
        <v>10</v>
      </c>
      <c r="D850" t="s">
        <v>48</v>
      </c>
      <c r="E850">
        <v>62</v>
      </c>
      <c r="F850" t="s">
        <v>12</v>
      </c>
      <c r="G850">
        <v>37</v>
      </c>
      <c r="H850">
        <v>53</v>
      </c>
      <c r="I850" t="str">
        <f>_xlfn.XLOOKUP($C850,dim_campaigns!$D$2:$D$3,dim_campaigns!$A$2:$A$3,"",0)</f>
        <v>Sankranti</v>
      </c>
      <c r="J850" s="6">
        <f t="shared" si="26"/>
        <v>0.43243243243243246</v>
      </c>
      <c r="K850">
        <f t="shared" si="27"/>
        <v>3937</v>
      </c>
      <c r="L850" t="str">
        <f>VLOOKUP($B850,dim_stores!$A$1:$C$51,2,0)</f>
        <v>Coimbatore</v>
      </c>
    </row>
    <row r="851" spans="1:12" x14ac:dyDescent="0.3">
      <c r="A851" t="s">
        <v>866</v>
      </c>
      <c r="B851" t="s">
        <v>70</v>
      </c>
      <c r="C851" t="s">
        <v>10</v>
      </c>
      <c r="D851" t="s">
        <v>53</v>
      </c>
      <c r="E851">
        <v>860</v>
      </c>
      <c r="F851" t="s">
        <v>54</v>
      </c>
      <c r="G851">
        <v>642</v>
      </c>
      <c r="H851">
        <v>918</v>
      </c>
      <c r="I851" t="str">
        <f>_xlfn.XLOOKUP($C851,dim_campaigns!$D$2:$D$3,dim_campaigns!$A$2:$A$3,"",0)</f>
        <v>Sankranti</v>
      </c>
      <c r="J851" s="6">
        <f t="shared" si="26"/>
        <v>0.42990654205607476</v>
      </c>
      <c r="K851">
        <f t="shared" si="27"/>
        <v>1081071.6000000001</v>
      </c>
      <c r="L851" t="str">
        <f>VLOOKUP($B851,dim_stores!$A$1:$C$51,2,0)</f>
        <v>Chennai</v>
      </c>
    </row>
    <row r="852" spans="1:12" x14ac:dyDescent="0.3">
      <c r="A852" t="s">
        <v>867</v>
      </c>
      <c r="B852" t="s">
        <v>117</v>
      </c>
      <c r="C852" t="s">
        <v>15</v>
      </c>
      <c r="D852" t="s">
        <v>24</v>
      </c>
      <c r="E852">
        <v>3000</v>
      </c>
      <c r="F852" t="s">
        <v>25</v>
      </c>
      <c r="G852">
        <v>211</v>
      </c>
      <c r="H852">
        <v>614</v>
      </c>
      <c r="I852" t="str">
        <f>_xlfn.XLOOKUP($C852,dim_campaigns!$D$2:$D$3,dim_campaigns!$A$2:$A$3,"",0)</f>
        <v>Diwali</v>
      </c>
      <c r="J852" s="6">
        <f t="shared" si="26"/>
        <v>1.9099526066350712</v>
      </c>
      <c r="K852">
        <f t="shared" si="27"/>
        <v>2168000</v>
      </c>
      <c r="L852" t="str">
        <f>VLOOKUP($B852,dim_stores!$A$1:$C$51,2,0)</f>
        <v>Mangalore</v>
      </c>
    </row>
    <row r="853" spans="1:12" x14ac:dyDescent="0.3">
      <c r="A853" t="s">
        <v>868</v>
      </c>
      <c r="B853" t="s">
        <v>27</v>
      </c>
      <c r="C853" t="s">
        <v>15</v>
      </c>
      <c r="D853" t="s">
        <v>32</v>
      </c>
      <c r="E853">
        <v>65</v>
      </c>
      <c r="F853" t="s">
        <v>12</v>
      </c>
      <c r="G853">
        <v>103</v>
      </c>
      <c r="H853">
        <v>160</v>
      </c>
      <c r="I853" t="str">
        <f>_xlfn.XLOOKUP($C853,dim_campaigns!$D$2:$D$3,dim_campaigns!$A$2:$A$3,"",0)</f>
        <v>Diwali</v>
      </c>
      <c r="J853" s="6">
        <f t="shared" si="26"/>
        <v>0.55339805825242716</v>
      </c>
      <c r="K853">
        <f t="shared" si="27"/>
        <v>11895</v>
      </c>
      <c r="L853" t="str">
        <f>VLOOKUP($B853,dim_stores!$A$1:$C$51,2,0)</f>
        <v>Bengaluru</v>
      </c>
    </row>
    <row r="854" spans="1:12" x14ac:dyDescent="0.3">
      <c r="A854" t="s">
        <v>869</v>
      </c>
      <c r="B854" t="s">
        <v>67</v>
      </c>
      <c r="C854" t="s">
        <v>15</v>
      </c>
      <c r="D854" t="s">
        <v>85</v>
      </c>
      <c r="E854">
        <v>110</v>
      </c>
      <c r="F854" t="s">
        <v>12</v>
      </c>
      <c r="G854">
        <v>78</v>
      </c>
      <c r="H854">
        <v>104</v>
      </c>
      <c r="I854" t="str">
        <f>_xlfn.XLOOKUP($C854,dim_campaigns!$D$2:$D$3,dim_campaigns!$A$2:$A$3,"",0)</f>
        <v>Diwali</v>
      </c>
      <c r="J854" s="6">
        <f t="shared" si="26"/>
        <v>0.33333333333333331</v>
      </c>
      <c r="K854">
        <f t="shared" si="27"/>
        <v>14300</v>
      </c>
      <c r="L854" t="str">
        <f>VLOOKUP($B854,dim_stores!$A$1:$C$51,2,0)</f>
        <v>Bengaluru</v>
      </c>
    </row>
    <row r="855" spans="1:12" x14ac:dyDescent="0.3">
      <c r="A855" t="s">
        <v>870</v>
      </c>
      <c r="B855" t="s">
        <v>52</v>
      </c>
      <c r="C855" t="s">
        <v>10</v>
      </c>
      <c r="D855" t="s">
        <v>35</v>
      </c>
      <c r="E855">
        <v>350</v>
      </c>
      <c r="F855" t="s">
        <v>21</v>
      </c>
      <c r="G855">
        <v>85</v>
      </c>
      <c r="H855">
        <v>215</v>
      </c>
      <c r="I855" t="str">
        <f>_xlfn.XLOOKUP($C855,dim_campaigns!$D$2:$D$3,dim_campaigns!$A$2:$A$3,"",0)</f>
        <v>Sankranti</v>
      </c>
      <c r="J855" s="6">
        <f t="shared" si="26"/>
        <v>1.5294117647058822</v>
      </c>
      <c r="K855">
        <f t="shared" si="27"/>
        <v>67375</v>
      </c>
      <c r="L855" t="str">
        <f>VLOOKUP($B855,dim_stores!$A$1:$C$51,2,0)</f>
        <v>Visakhapatnam</v>
      </c>
    </row>
    <row r="856" spans="1:12" x14ac:dyDescent="0.3">
      <c r="A856" s="1">
        <v>3.1399999999999999E+36</v>
      </c>
      <c r="B856" t="s">
        <v>37</v>
      </c>
      <c r="C856" t="s">
        <v>15</v>
      </c>
      <c r="D856" t="s">
        <v>51</v>
      </c>
      <c r="E856">
        <v>290</v>
      </c>
      <c r="F856" t="s">
        <v>17</v>
      </c>
      <c r="G856">
        <v>252</v>
      </c>
      <c r="H856">
        <v>226</v>
      </c>
      <c r="I856" t="str">
        <f>_xlfn.XLOOKUP($C856,dim_campaigns!$D$2:$D$3,dim_campaigns!$A$2:$A$3,"",0)</f>
        <v>Diwali</v>
      </c>
      <c r="J856" s="6">
        <f t="shared" si="26"/>
        <v>-0.10317460317460317</v>
      </c>
      <c r="K856">
        <f t="shared" si="27"/>
        <v>122235</v>
      </c>
      <c r="L856" t="str">
        <f>VLOOKUP($B856,dim_stores!$A$1:$C$51,2,0)</f>
        <v>Coimbatore</v>
      </c>
    </row>
    <row r="857" spans="1:12" x14ac:dyDescent="0.3">
      <c r="A857" t="s">
        <v>871</v>
      </c>
      <c r="B857" t="s">
        <v>137</v>
      </c>
      <c r="C857" t="s">
        <v>10</v>
      </c>
      <c r="D857" t="s">
        <v>35</v>
      </c>
      <c r="E857">
        <v>350</v>
      </c>
      <c r="F857" t="s">
        <v>21</v>
      </c>
      <c r="G857">
        <v>70</v>
      </c>
      <c r="H857">
        <v>281</v>
      </c>
      <c r="I857" t="str">
        <f>_xlfn.XLOOKUP($C857,dim_campaigns!$D$2:$D$3,dim_campaigns!$A$2:$A$3,"",0)</f>
        <v>Sankranti</v>
      </c>
      <c r="J857" s="6">
        <f t="shared" si="26"/>
        <v>3.0142857142857142</v>
      </c>
      <c r="K857">
        <f t="shared" si="27"/>
        <v>73675</v>
      </c>
      <c r="L857" t="str">
        <f>VLOOKUP($B857,dim_stores!$A$1:$C$51,2,0)</f>
        <v>Mangalore</v>
      </c>
    </row>
    <row r="858" spans="1:12" x14ac:dyDescent="0.3">
      <c r="A858" t="s">
        <v>872</v>
      </c>
      <c r="B858" t="s">
        <v>99</v>
      </c>
      <c r="C858" t="s">
        <v>15</v>
      </c>
      <c r="D858" t="s">
        <v>61</v>
      </c>
      <c r="E858">
        <v>172</v>
      </c>
      <c r="F858" t="s">
        <v>54</v>
      </c>
      <c r="G858">
        <v>241</v>
      </c>
      <c r="H858">
        <v>404</v>
      </c>
      <c r="I858" t="str">
        <f>_xlfn.XLOOKUP($C858,dim_campaigns!$D$2:$D$3,dim_campaigns!$A$2:$A$3,"",0)</f>
        <v>Diwali</v>
      </c>
      <c r="J858" s="6">
        <f t="shared" si="26"/>
        <v>0.67634854771784236</v>
      </c>
      <c r="K858">
        <f t="shared" si="27"/>
        <v>88008.959999999992</v>
      </c>
      <c r="L858" t="str">
        <f>VLOOKUP($B858,dim_stores!$A$1:$C$51,2,0)</f>
        <v>Coimbatore</v>
      </c>
    </row>
    <row r="859" spans="1:12" x14ac:dyDescent="0.3">
      <c r="A859" t="s">
        <v>873</v>
      </c>
      <c r="B859" t="s">
        <v>115</v>
      </c>
      <c r="C859" t="s">
        <v>15</v>
      </c>
      <c r="D859" t="s">
        <v>11</v>
      </c>
      <c r="E859">
        <v>190</v>
      </c>
      <c r="F859" t="s">
        <v>12</v>
      </c>
      <c r="G859">
        <v>75</v>
      </c>
      <c r="H859">
        <v>98</v>
      </c>
      <c r="I859" t="str">
        <f>_xlfn.XLOOKUP($C859,dim_campaigns!$D$2:$D$3,dim_campaigns!$A$2:$A$3,"",0)</f>
        <v>Diwali</v>
      </c>
      <c r="J859" s="6">
        <f t="shared" si="26"/>
        <v>0.30666666666666664</v>
      </c>
      <c r="K859">
        <f t="shared" si="27"/>
        <v>23560</v>
      </c>
      <c r="L859" t="str">
        <f>VLOOKUP($B859,dim_stores!$A$1:$C$51,2,0)</f>
        <v>Bengaluru</v>
      </c>
    </row>
    <row r="860" spans="1:12" x14ac:dyDescent="0.3">
      <c r="A860" t="s">
        <v>874</v>
      </c>
      <c r="B860" t="s">
        <v>115</v>
      </c>
      <c r="C860" t="s">
        <v>15</v>
      </c>
      <c r="D860" t="s">
        <v>51</v>
      </c>
      <c r="E860">
        <v>290</v>
      </c>
      <c r="F860" t="s">
        <v>17</v>
      </c>
      <c r="G860">
        <v>311</v>
      </c>
      <c r="H860">
        <v>304</v>
      </c>
      <c r="I860" t="str">
        <f>_xlfn.XLOOKUP($C860,dim_campaigns!$D$2:$D$3,dim_campaigns!$A$2:$A$3,"",0)</f>
        <v>Diwali</v>
      </c>
      <c r="J860" s="6">
        <f t="shared" si="26"/>
        <v>-2.2508038585209004E-2</v>
      </c>
      <c r="K860">
        <f t="shared" si="27"/>
        <v>156310</v>
      </c>
      <c r="L860" t="str">
        <f>VLOOKUP($B860,dim_stores!$A$1:$C$51,2,0)</f>
        <v>Bengaluru</v>
      </c>
    </row>
    <row r="861" spans="1:12" x14ac:dyDescent="0.3">
      <c r="A861" t="s">
        <v>875</v>
      </c>
      <c r="B861" t="s">
        <v>126</v>
      </c>
      <c r="C861" t="s">
        <v>15</v>
      </c>
      <c r="D861" t="s">
        <v>51</v>
      </c>
      <c r="E861">
        <v>290</v>
      </c>
      <c r="F861" t="s">
        <v>17</v>
      </c>
      <c r="G861">
        <v>175</v>
      </c>
      <c r="H861">
        <v>150</v>
      </c>
      <c r="I861" t="str">
        <f>_xlfn.XLOOKUP($C861,dim_campaigns!$D$2:$D$3,dim_campaigns!$A$2:$A$3,"",0)</f>
        <v>Diwali</v>
      </c>
      <c r="J861" s="6">
        <f t="shared" si="26"/>
        <v>-0.14285714285714285</v>
      </c>
      <c r="K861">
        <f t="shared" si="27"/>
        <v>83375</v>
      </c>
      <c r="L861" t="str">
        <f>VLOOKUP($B861,dim_stores!$A$1:$C$51,2,0)</f>
        <v>Mangalore</v>
      </c>
    </row>
    <row r="862" spans="1:12" x14ac:dyDescent="0.3">
      <c r="A862" t="s">
        <v>876</v>
      </c>
      <c r="B862" t="s">
        <v>60</v>
      </c>
      <c r="C862" t="s">
        <v>10</v>
      </c>
      <c r="D862" t="s">
        <v>28</v>
      </c>
      <c r="E862">
        <v>55</v>
      </c>
      <c r="F862" t="s">
        <v>17</v>
      </c>
      <c r="G862">
        <v>12</v>
      </c>
      <c r="H862">
        <v>11</v>
      </c>
      <c r="I862" t="str">
        <f>_xlfn.XLOOKUP($C862,dim_campaigns!$D$2:$D$3,dim_campaigns!$A$2:$A$3,"",0)</f>
        <v>Sankranti</v>
      </c>
      <c r="J862" s="6">
        <f t="shared" si="26"/>
        <v>-8.3333333333333329E-2</v>
      </c>
      <c r="K862">
        <f t="shared" si="27"/>
        <v>1113.75</v>
      </c>
      <c r="L862" t="str">
        <f>VLOOKUP($B862,dim_stores!$A$1:$C$51,2,0)</f>
        <v>Trivandrum</v>
      </c>
    </row>
    <row r="863" spans="1:12" x14ac:dyDescent="0.3">
      <c r="A863" t="s">
        <v>877</v>
      </c>
      <c r="B863" t="s">
        <v>190</v>
      </c>
      <c r="C863" t="s">
        <v>10</v>
      </c>
      <c r="D863" t="s">
        <v>20</v>
      </c>
      <c r="E863">
        <v>300</v>
      </c>
      <c r="F863" t="s">
        <v>21</v>
      </c>
      <c r="G863">
        <v>24</v>
      </c>
      <c r="H863">
        <v>92</v>
      </c>
      <c r="I863" t="str">
        <f>_xlfn.XLOOKUP($C863,dim_campaigns!$D$2:$D$3,dim_campaigns!$A$2:$A$3,"",0)</f>
        <v>Sankranti</v>
      </c>
      <c r="J863" s="6">
        <f t="shared" si="26"/>
        <v>2.8333333333333335</v>
      </c>
      <c r="K863">
        <f t="shared" si="27"/>
        <v>21000</v>
      </c>
      <c r="L863" t="str">
        <f>VLOOKUP($B863,dim_stores!$A$1:$C$51,2,0)</f>
        <v>Visakhapatnam</v>
      </c>
    </row>
    <row r="864" spans="1:12" x14ac:dyDescent="0.3">
      <c r="A864" t="s">
        <v>878</v>
      </c>
      <c r="B864" t="s">
        <v>29</v>
      </c>
      <c r="C864" t="s">
        <v>15</v>
      </c>
      <c r="D864" t="s">
        <v>20</v>
      </c>
      <c r="E864">
        <v>300</v>
      </c>
      <c r="F864" t="s">
        <v>21</v>
      </c>
      <c r="G864">
        <v>70</v>
      </c>
      <c r="H864">
        <v>243</v>
      </c>
      <c r="I864" t="str">
        <f>_xlfn.XLOOKUP($C864,dim_campaigns!$D$2:$D$3,dim_campaigns!$A$2:$A$3,"",0)</f>
        <v>Diwali</v>
      </c>
      <c r="J864" s="6">
        <f t="shared" si="26"/>
        <v>2.4714285714285715</v>
      </c>
      <c r="K864">
        <f t="shared" si="27"/>
        <v>57450</v>
      </c>
      <c r="L864" t="str">
        <f>VLOOKUP($B864,dim_stores!$A$1:$C$51,2,0)</f>
        <v>Bengaluru</v>
      </c>
    </row>
    <row r="865" spans="1:12" x14ac:dyDescent="0.3">
      <c r="A865" t="s">
        <v>879</v>
      </c>
      <c r="B865" t="s">
        <v>123</v>
      </c>
      <c r="C865" t="s">
        <v>10</v>
      </c>
      <c r="D865" t="s">
        <v>35</v>
      </c>
      <c r="E865">
        <v>350</v>
      </c>
      <c r="F865" t="s">
        <v>21</v>
      </c>
      <c r="G865">
        <v>111</v>
      </c>
      <c r="H865">
        <v>290</v>
      </c>
      <c r="I865" t="str">
        <f>_xlfn.XLOOKUP($C865,dim_campaigns!$D$2:$D$3,dim_campaigns!$A$2:$A$3,"",0)</f>
        <v>Sankranti</v>
      </c>
      <c r="J865" s="6">
        <f t="shared" si="26"/>
        <v>1.6126126126126126</v>
      </c>
      <c r="K865">
        <f t="shared" si="27"/>
        <v>89600</v>
      </c>
      <c r="L865" t="str">
        <f>VLOOKUP($B865,dim_stores!$A$1:$C$51,2,0)</f>
        <v>Bengaluru</v>
      </c>
    </row>
    <row r="866" spans="1:12" x14ac:dyDescent="0.3">
      <c r="A866" s="1">
        <v>831000000</v>
      </c>
      <c r="B866" t="s">
        <v>9</v>
      </c>
      <c r="C866" t="s">
        <v>15</v>
      </c>
      <c r="D866" t="s">
        <v>38</v>
      </c>
      <c r="E866">
        <v>1190</v>
      </c>
      <c r="F866" t="s">
        <v>21</v>
      </c>
      <c r="G866">
        <v>33</v>
      </c>
      <c r="H866">
        <v>129</v>
      </c>
      <c r="I866" t="str">
        <f>_xlfn.XLOOKUP($C866,dim_campaigns!$D$2:$D$3,dim_campaigns!$A$2:$A$3,"",0)</f>
        <v>Diwali</v>
      </c>
      <c r="J866" s="6">
        <f t="shared" si="26"/>
        <v>2.9090909090909092</v>
      </c>
      <c r="K866">
        <f t="shared" si="27"/>
        <v>116025</v>
      </c>
      <c r="L866" t="str">
        <f>VLOOKUP($B866,dim_stores!$A$1:$C$51,2,0)</f>
        <v>Coimbatore</v>
      </c>
    </row>
    <row r="867" spans="1:12" x14ac:dyDescent="0.3">
      <c r="A867" t="s">
        <v>880</v>
      </c>
      <c r="B867" t="s">
        <v>56</v>
      </c>
      <c r="C867" t="s">
        <v>10</v>
      </c>
      <c r="D867" t="s">
        <v>43</v>
      </c>
      <c r="E867">
        <v>415</v>
      </c>
      <c r="F867" t="s">
        <v>17</v>
      </c>
      <c r="G867">
        <v>25</v>
      </c>
      <c r="H867">
        <v>22</v>
      </c>
      <c r="I867" t="str">
        <f>_xlfn.XLOOKUP($C867,dim_campaigns!$D$2:$D$3,dim_campaigns!$A$2:$A$3,"",0)</f>
        <v>Sankranti</v>
      </c>
      <c r="J867" s="6">
        <f t="shared" si="26"/>
        <v>-0.12</v>
      </c>
      <c r="K867">
        <f t="shared" si="27"/>
        <v>17222.5</v>
      </c>
      <c r="L867" t="str">
        <f>VLOOKUP($B867,dim_stores!$A$1:$C$51,2,0)</f>
        <v>Chennai</v>
      </c>
    </row>
    <row r="868" spans="1:12" x14ac:dyDescent="0.3">
      <c r="A868" t="s">
        <v>881</v>
      </c>
      <c r="B868" t="s">
        <v>9</v>
      </c>
      <c r="C868" t="s">
        <v>10</v>
      </c>
      <c r="D868" t="s">
        <v>32</v>
      </c>
      <c r="E868">
        <v>50</v>
      </c>
      <c r="F868" t="s">
        <v>17</v>
      </c>
      <c r="G868">
        <v>22</v>
      </c>
      <c r="H868">
        <v>18</v>
      </c>
      <c r="I868" t="str">
        <f>_xlfn.XLOOKUP($C868,dim_campaigns!$D$2:$D$3,dim_campaigns!$A$2:$A$3,"",0)</f>
        <v>Sankranti</v>
      </c>
      <c r="J868" s="6">
        <f t="shared" si="26"/>
        <v>-0.18181818181818182</v>
      </c>
      <c r="K868">
        <f t="shared" si="27"/>
        <v>1775</v>
      </c>
      <c r="L868" t="str">
        <f>VLOOKUP($B868,dim_stores!$A$1:$C$51,2,0)</f>
        <v>Coimbatore</v>
      </c>
    </row>
    <row r="869" spans="1:12" x14ac:dyDescent="0.3">
      <c r="A869" t="s">
        <v>882</v>
      </c>
      <c r="B869" t="s">
        <v>89</v>
      </c>
      <c r="C869" t="s">
        <v>10</v>
      </c>
      <c r="D869" t="s">
        <v>28</v>
      </c>
      <c r="E869">
        <v>55</v>
      </c>
      <c r="F869" t="s">
        <v>17</v>
      </c>
      <c r="G869">
        <v>13</v>
      </c>
      <c r="H869">
        <v>9</v>
      </c>
      <c r="I869" t="str">
        <f>_xlfn.XLOOKUP($C869,dim_campaigns!$D$2:$D$3,dim_campaigns!$A$2:$A$3,"",0)</f>
        <v>Sankranti</v>
      </c>
      <c r="J869" s="6">
        <f t="shared" si="26"/>
        <v>-0.30769230769230771</v>
      </c>
      <c r="K869">
        <f t="shared" si="27"/>
        <v>1086.25</v>
      </c>
      <c r="L869" t="str">
        <f>VLOOKUP($B869,dim_stores!$A$1:$C$51,2,0)</f>
        <v>Vijayawada</v>
      </c>
    </row>
    <row r="870" spans="1:12" x14ac:dyDescent="0.3">
      <c r="A870" t="s">
        <v>883</v>
      </c>
      <c r="B870" t="s">
        <v>84</v>
      </c>
      <c r="C870" t="s">
        <v>10</v>
      </c>
      <c r="D870" t="s">
        <v>35</v>
      </c>
      <c r="E870">
        <v>350</v>
      </c>
      <c r="F870" t="s">
        <v>21</v>
      </c>
      <c r="G870">
        <v>129</v>
      </c>
      <c r="H870">
        <v>540</v>
      </c>
      <c r="I870" t="str">
        <f>_xlfn.XLOOKUP($C870,dim_campaigns!$D$2:$D$3,dim_campaigns!$A$2:$A$3,"",0)</f>
        <v>Sankranti</v>
      </c>
      <c r="J870" s="6">
        <f t="shared" si="26"/>
        <v>3.1860465116279069</v>
      </c>
      <c r="K870">
        <f t="shared" si="27"/>
        <v>139650</v>
      </c>
      <c r="L870" t="str">
        <f>VLOOKUP($B870,dim_stores!$A$1:$C$51,2,0)</f>
        <v>Mysuru</v>
      </c>
    </row>
    <row r="871" spans="1:12" x14ac:dyDescent="0.3">
      <c r="A871" t="s">
        <v>884</v>
      </c>
      <c r="B871" t="s">
        <v>119</v>
      </c>
      <c r="C871" t="s">
        <v>10</v>
      </c>
      <c r="D871" t="s">
        <v>38</v>
      </c>
      <c r="E871">
        <v>1190</v>
      </c>
      <c r="F871" t="s">
        <v>21</v>
      </c>
      <c r="G871">
        <v>46</v>
      </c>
      <c r="H871">
        <v>203</v>
      </c>
      <c r="I871" t="str">
        <f>_xlfn.XLOOKUP($C871,dim_campaigns!$D$2:$D$3,dim_campaigns!$A$2:$A$3,"",0)</f>
        <v>Sankranti</v>
      </c>
      <c r="J871" s="6">
        <f t="shared" si="26"/>
        <v>3.4130434782608696</v>
      </c>
      <c r="K871">
        <f t="shared" si="27"/>
        <v>175525</v>
      </c>
      <c r="L871" t="str">
        <f>VLOOKUP($B871,dim_stores!$A$1:$C$51,2,0)</f>
        <v>Chennai</v>
      </c>
    </row>
    <row r="872" spans="1:12" x14ac:dyDescent="0.3">
      <c r="A872" t="s">
        <v>885</v>
      </c>
      <c r="B872" t="s">
        <v>190</v>
      </c>
      <c r="C872" t="s">
        <v>15</v>
      </c>
      <c r="D872" t="s">
        <v>11</v>
      </c>
      <c r="E872">
        <v>190</v>
      </c>
      <c r="F872" t="s">
        <v>12</v>
      </c>
      <c r="G872">
        <v>49</v>
      </c>
      <c r="H872">
        <v>76</v>
      </c>
      <c r="I872" t="str">
        <f>_xlfn.XLOOKUP($C872,dim_campaigns!$D$2:$D$3,dim_campaigns!$A$2:$A$3,"",0)</f>
        <v>Diwali</v>
      </c>
      <c r="J872" s="6">
        <f t="shared" si="26"/>
        <v>0.55102040816326525</v>
      </c>
      <c r="K872">
        <f t="shared" si="27"/>
        <v>16530</v>
      </c>
      <c r="L872" t="str">
        <f>VLOOKUP($B872,dim_stores!$A$1:$C$51,2,0)</f>
        <v>Visakhapatnam</v>
      </c>
    </row>
    <row r="873" spans="1:12" x14ac:dyDescent="0.3">
      <c r="A873" t="s">
        <v>886</v>
      </c>
      <c r="B873" t="s">
        <v>65</v>
      </c>
      <c r="C873" t="s">
        <v>10</v>
      </c>
      <c r="D873" t="s">
        <v>85</v>
      </c>
      <c r="E873">
        <v>90</v>
      </c>
      <c r="F873" t="s">
        <v>17</v>
      </c>
      <c r="G873">
        <v>66</v>
      </c>
      <c r="H873">
        <v>62</v>
      </c>
      <c r="I873" t="str">
        <f>_xlfn.XLOOKUP($C873,dim_campaigns!$D$2:$D$3,dim_campaigns!$A$2:$A$3,"",0)</f>
        <v>Sankranti</v>
      </c>
      <c r="J873" s="6">
        <f t="shared" si="26"/>
        <v>-6.0606060606060608E-2</v>
      </c>
      <c r="K873">
        <f t="shared" si="27"/>
        <v>10125</v>
      </c>
      <c r="L873" t="str">
        <f>VLOOKUP($B873,dim_stores!$A$1:$C$51,2,0)</f>
        <v>Hyderabad</v>
      </c>
    </row>
    <row r="874" spans="1:12" x14ac:dyDescent="0.3">
      <c r="A874" t="s">
        <v>887</v>
      </c>
      <c r="B874" t="s">
        <v>29</v>
      </c>
      <c r="C874" t="s">
        <v>15</v>
      </c>
      <c r="D874" t="s">
        <v>35</v>
      </c>
      <c r="E874">
        <v>350</v>
      </c>
      <c r="F874" t="s">
        <v>21</v>
      </c>
      <c r="G874">
        <v>84</v>
      </c>
      <c r="H874">
        <v>285</v>
      </c>
      <c r="I874" t="str">
        <f>_xlfn.XLOOKUP($C874,dim_campaigns!$D$2:$D$3,dim_campaigns!$A$2:$A$3,"",0)</f>
        <v>Diwali</v>
      </c>
      <c r="J874" s="6">
        <f t="shared" si="26"/>
        <v>2.3928571428571428</v>
      </c>
      <c r="K874">
        <f t="shared" si="27"/>
        <v>79275</v>
      </c>
      <c r="L874" t="str">
        <f>VLOOKUP($B874,dim_stores!$A$1:$C$51,2,0)</f>
        <v>Bengaluru</v>
      </c>
    </row>
    <row r="875" spans="1:12" x14ac:dyDescent="0.3">
      <c r="A875" s="1">
        <v>15300000</v>
      </c>
      <c r="B875" t="s">
        <v>161</v>
      </c>
      <c r="C875" t="s">
        <v>10</v>
      </c>
      <c r="D875" t="s">
        <v>48</v>
      </c>
      <c r="E875">
        <v>62</v>
      </c>
      <c r="F875" t="s">
        <v>12</v>
      </c>
      <c r="G875">
        <v>67</v>
      </c>
      <c r="H875">
        <v>95</v>
      </c>
      <c r="I875" t="str">
        <f>_xlfn.XLOOKUP($C875,dim_campaigns!$D$2:$D$3,dim_campaigns!$A$2:$A$3,"",0)</f>
        <v>Sankranti</v>
      </c>
      <c r="J875" s="6">
        <f t="shared" si="26"/>
        <v>0.41791044776119401</v>
      </c>
      <c r="K875">
        <f t="shared" si="27"/>
        <v>7099</v>
      </c>
      <c r="L875" t="str">
        <f>VLOOKUP($B875,dim_stores!$A$1:$C$51,2,0)</f>
        <v>Chennai</v>
      </c>
    </row>
    <row r="876" spans="1:12" x14ac:dyDescent="0.3">
      <c r="A876" t="s">
        <v>888</v>
      </c>
      <c r="B876" t="s">
        <v>50</v>
      </c>
      <c r="C876" t="s">
        <v>10</v>
      </c>
      <c r="D876" t="s">
        <v>51</v>
      </c>
      <c r="E876">
        <v>370</v>
      </c>
      <c r="F876" t="s">
        <v>21</v>
      </c>
      <c r="G876">
        <v>481</v>
      </c>
      <c r="H876">
        <v>1890</v>
      </c>
      <c r="I876" t="str">
        <f>_xlfn.XLOOKUP($C876,dim_campaigns!$D$2:$D$3,dim_campaigns!$A$2:$A$3,"",0)</f>
        <v>Sankranti</v>
      </c>
      <c r="J876" s="6">
        <f t="shared" si="26"/>
        <v>2.9293139293139294</v>
      </c>
      <c r="K876">
        <f t="shared" si="27"/>
        <v>527620</v>
      </c>
      <c r="L876" t="str">
        <f>VLOOKUP($B876,dim_stores!$A$1:$C$51,2,0)</f>
        <v>Bengaluru</v>
      </c>
    </row>
    <row r="877" spans="1:12" x14ac:dyDescent="0.3">
      <c r="A877" t="s">
        <v>889</v>
      </c>
      <c r="B877" t="s">
        <v>110</v>
      </c>
      <c r="C877" t="s">
        <v>10</v>
      </c>
      <c r="D877" t="s">
        <v>51</v>
      </c>
      <c r="E877">
        <v>370</v>
      </c>
      <c r="F877" t="s">
        <v>21</v>
      </c>
      <c r="G877">
        <v>469</v>
      </c>
      <c r="H877">
        <v>1861</v>
      </c>
      <c r="I877" t="str">
        <f>_xlfn.XLOOKUP($C877,dim_campaigns!$D$2:$D$3,dim_campaigns!$A$2:$A$3,"",0)</f>
        <v>Sankranti</v>
      </c>
      <c r="J877" s="6">
        <f t="shared" si="26"/>
        <v>2.9680170575692966</v>
      </c>
      <c r="K877">
        <f t="shared" si="27"/>
        <v>517815</v>
      </c>
      <c r="L877" t="str">
        <f>VLOOKUP($B877,dim_stores!$A$1:$C$51,2,0)</f>
        <v>Chennai</v>
      </c>
    </row>
    <row r="878" spans="1:12" x14ac:dyDescent="0.3">
      <c r="A878" t="s">
        <v>890</v>
      </c>
      <c r="B878" t="s">
        <v>67</v>
      </c>
      <c r="C878" t="s">
        <v>10</v>
      </c>
      <c r="D878" t="s">
        <v>51</v>
      </c>
      <c r="E878">
        <v>370</v>
      </c>
      <c r="F878" t="s">
        <v>21</v>
      </c>
      <c r="G878">
        <v>465</v>
      </c>
      <c r="H878">
        <v>2064</v>
      </c>
      <c r="I878" t="str">
        <f>_xlfn.XLOOKUP($C878,dim_campaigns!$D$2:$D$3,dim_campaigns!$A$2:$A$3,"",0)</f>
        <v>Sankranti</v>
      </c>
      <c r="J878" s="6">
        <f t="shared" si="26"/>
        <v>3.4387096774193546</v>
      </c>
      <c r="K878">
        <f t="shared" si="27"/>
        <v>553890</v>
      </c>
      <c r="L878" t="str">
        <f>VLOOKUP($B878,dim_stores!$A$1:$C$51,2,0)</f>
        <v>Bengaluru</v>
      </c>
    </row>
    <row r="879" spans="1:12" x14ac:dyDescent="0.3">
      <c r="A879" t="s">
        <v>891</v>
      </c>
      <c r="B879" t="s">
        <v>113</v>
      </c>
      <c r="C879" t="s">
        <v>10</v>
      </c>
      <c r="D879" t="s">
        <v>43</v>
      </c>
      <c r="E879">
        <v>415</v>
      </c>
      <c r="F879" t="s">
        <v>17</v>
      </c>
      <c r="G879">
        <v>36</v>
      </c>
      <c r="H879">
        <v>29</v>
      </c>
      <c r="I879" t="str">
        <f>_xlfn.XLOOKUP($C879,dim_campaigns!$D$2:$D$3,dim_campaigns!$A$2:$A$3,"",0)</f>
        <v>Sankranti</v>
      </c>
      <c r="J879" s="6">
        <f t="shared" si="26"/>
        <v>-0.19444444444444445</v>
      </c>
      <c r="K879">
        <f t="shared" si="27"/>
        <v>23966.25</v>
      </c>
      <c r="L879" t="str">
        <f>VLOOKUP($B879,dim_stores!$A$1:$C$51,2,0)</f>
        <v>Chennai</v>
      </c>
    </row>
    <row r="880" spans="1:12" x14ac:dyDescent="0.3">
      <c r="A880" t="s">
        <v>892</v>
      </c>
      <c r="B880" t="s">
        <v>27</v>
      </c>
      <c r="C880" t="s">
        <v>10</v>
      </c>
      <c r="D880" t="s">
        <v>48</v>
      </c>
      <c r="E880">
        <v>62</v>
      </c>
      <c r="F880" t="s">
        <v>12</v>
      </c>
      <c r="G880">
        <v>54</v>
      </c>
      <c r="H880">
        <v>83</v>
      </c>
      <c r="I880" t="str">
        <f>_xlfn.XLOOKUP($C880,dim_campaigns!$D$2:$D$3,dim_campaigns!$A$2:$A$3,"",0)</f>
        <v>Sankranti</v>
      </c>
      <c r="J880" s="6">
        <f t="shared" si="26"/>
        <v>0.53703703703703709</v>
      </c>
      <c r="K880">
        <f t="shared" si="27"/>
        <v>5921</v>
      </c>
      <c r="L880" t="str">
        <f>VLOOKUP($B880,dim_stores!$A$1:$C$51,2,0)</f>
        <v>Bengaluru</v>
      </c>
    </row>
    <row r="881" spans="1:12" x14ac:dyDescent="0.3">
      <c r="A881" t="s">
        <v>893</v>
      </c>
      <c r="B881" t="s">
        <v>19</v>
      </c>
      <c r="C881" t="s">
        <v>15</v>
      </c>
      <c r="D881" t="s">
        <v>38</v>
      </c>
      <c r="E881">
        <v>1190</v>
      </c>
      <c r="F881" t="s">
        <v>21</v>
      </c>
      <c r="G881">
        <v>26</v>
      </c>
      <c r="H881">
        <v>86</v>
      </c>
      <c r="I881" t="str">
        <f>_xlfn.XLOOKUP($C881,dim_campaigns!$D$2:$D$3,dim_campaigns!$A$2:$A$3,"",0)</f>
        <v>Diwali</v>
      </c>
      <c r="J881" s="6">
        <f t="shared" si="26"/>
        <v>2.3076923076923075</v>
      </c>
      <c r="K881">
        <f t="shared" si="27"/>
        <v>82110</v>
      </c>
      <c r="L881" t="str">
        <f>VLOOKUP($B881,dim_stores!$A$1:$C$51,2,0)</f>
        <v>Vijayawada</v>
      </c>
    </row>
    <row r="882" spans="1:12" x14ac:dyDescent="0.3">
      <c r="A882" t="s">
        <v>894</v>
      </c>
      <c r="B882" t="s">
        <v>70</v>
      </c>
      <c r="C882" t="s">
        <v>15</v>
      </c>
      <c r="D882" t="s">
        <v>38</v>
      </c>
      <c r="E882">
        <v>1190</v>
      </c>
      <c r="F882" t="s">
        <v>21</v>
      </c>
      <c r="G882">
        <v>54</v>
      </c>
      <c r="H882">
        <v>213</v>
      </c>
      <c r="I882" t="str">
        <f>_xlfn.XLOOKUP($C882,dim_campaigns!$D$2:$D$3,dim_campaigns!$A$2:$A$3,"",0)</f>
        <v>Diwali</v>
      </c>
      <c r="J882" s="6">
        <f t="shared" si="26"/>
        <v>2.9444444444444446</v>
      </c>
      <c r="K882">
        <f t="shared" si="27"/>
        <v>190995</v>
      </c>
      <c r="L882" t="str">
        <f>VLOOKUP($B882,dim_stores!$A$1:$C$51,2,0)</f>
        <v>Chennai</v>
      </c>
    </row>
    <row r="883" spans="1:12" x14ac:dyDescent="0.3">
      <c r="A883" t="s">
        <v>895</v>
      </c>
      <c r="B883" t="s">
        <v>117</v>
      </c>
      <c r="C883" t="s">
        <v>10</v>
      </c>
      <c r="D883" t="s">
        <v>11</v>
      </c>
      <c r="E883">
        <v>190</v>
      </c>
      <c r="F883" t="s">
        <v>12</v>
      </c>
      <c r="G883">
        <v>21</v>
      </c>
      <c r="H883">
        <v>30</v>
      </c>
      <c r="I883" t="str">
        <f>_xlfn.XLOOKUP($C883,dim_campaigns!$D$2:$D$3,dim_campaigns!$A$2:$A$3,"",0)</f>
        <v>Sankranti</v>
      </c>
      <c r="J883" s="6">
        <f t="shared" si="26"/>
        <v>0.42857142857142855</v>
      </c>
      <c r="K883">
        <f t="shared" si="27"/>
        <v>6840</v>
      </c>
      <c r="L883" t="str">
        <f>VLOOKUP($B883,dim_stores!$A$1:$C$51,2,0)</f>
        <v>Mangalore</v>
      </c>
    </row>
    <row r="884" spans="1:12" x14ac:dyDescent="0.3">
      <c r="A884" t="s">
        <v>896</v>
      </c>
      <c r="B884" t="s">
        <v>117</v>
      </c>
      <c r="C884" t="s">
        <v>15</v>
      </c>
      <c r="D884" t="s">
        <v>35</v>
      </c>
      <c r="E884">
        <v>350</v>
      </c>
      <c r="F884" t="s">
        <v>21</v>
      </c>
      <c r="G884">
        <v>42</v>
      </c>
      <c r="H884">
        <v>145</v>
      </c>
      <c r="I884" t="str">
        <f>_xlfn.XLOOKUP($C884,dim_campaigns!$D$2:$D$3,dim_campaigns!$A$2:$A$3,"",0)</f>
        <v>Diwali</v>
      </c>
      <c r="J884" s="6">
        <f t="shared" si="26"/>
        <v>2.4523809523809526</v>
      </c>
      <c r="K884">
        <f t="shared" si="27"/>
        <v>40075</v>
      </c>
      <c r="L884" t="str">
        <f>VLOOKUP($B884,dim_stores!$A$1:$C$51,2,0)</f>
        <v>Mangalore</v>
      </c>
    </row>
    <row r="885" spans="1:12" x14ac:dyDescent="0.3">
      <c r="A885">
        <v>8869</v>
      </c>
      <c r="B885" t="s">
        <v>37</v>
      </c>
      <c r="C885" t="s">
        <v>10</v>
      </c>
      <c r="D885" t="s">
        <v>35</v>
      </c>
      <c r="E885">
        <v>350</v>
      </c>
      <c r="F885" t="s">
        <v>21</v>
      </c>
      <c r="G885">
        <v>75</v>
      </c>
      <c r="H885">
        <v>200</v>
      </c>
      <c r="I885" t="str">
        <f>_xlfn.XLOOKUP($C885,dim_campaigns!$D$2:$D$3,dim_campaigns!$A$2:$A$3,"",0)</f>
        <v>Sankranti</v>
      </c>
      <c r="J885" s="6">
        <f t="shared" si="26"/>
        <v>1.6666666666666667</v>
      </c>
      <c r="K885">
        <f t="shared" si="27"/>
        <v>61250</v>
      </c>
      <c r="L885" t="str">
        <f>VLOOKUP($B885,dim_stores!$A$1:$C$51,2,0)</f>
        <v>Coimbatore</v>
      </c>
    </row>
    <row r="886" spans="1:12" x14ac:dyDescent="0.3">
      <c r="A886" t="s">
        <v>897</v>
      </c>
      <c r="B886" t="s">
        <v>161</v>
      </c>
      <c r="C886" t="s">
        <v>15</v>
      </c>
      <c r="D886" t="s">
        <v>51</v>
      </c>
      <c r="E886">
        <v>290</v>
      </c>
      <c r="F886" t="s">
        <v>17</v>
      </c>
      <c r="G886">
        <v>348</v>
      </c>
      <c r="H886">
        <v>334</v>
      </c>
      <c r="I886" t="str">
        <f>_xlfn.XLOOKUP($C886,dim_campaigns!$D$2:$D$3,dim_campaigns!$A$2:$A$3,"",0)</f>
        <v>Diwali</v>
      </c>
      <c r="J886" s="6">
        <f t="shared" si="26"/>
        <v>-4.0229885057471264E-2</v>
      </c>
      <c r="K886">
        <f t="shared" si="27"/>
        <v>173565</v>
      </c>
      <c r="L886" t="str">
        <f>VLOOKUP($B886,dim_stores!$A$1:$C$51,2,0)</f>
        <v>Chennai</v>
      </c>
    </row>
    <row r="887" spans="1:12" x14ac:dyDescent="0.3">
      <c r="A887" t="s">
        <v>898</v>
      </c>
      <c r="B887" t="s">
        <v>45</v>
      </c>
      <c r="C887" t="s">
        <v>15</v>
      </c>
      <c r="D887" t="s">
        <v>11</v>
      </c>
      <c r="E887">
        <v>190</v>
      </c>
      <c r="F887" t="s">
        <v>12</v>
      </c>
      <c r="G887">
        <v>57</v>
      </c>
      <c r="H887">
        <v>71</v>
      </c>
      <c r="I887" t="str">
        <f>_xlfn.XLOOKUP($C887,dim_campaigns!$D$2:$D$3,dim_campaigns!$A$2:$A$3,"",0)</f>
        <v>Diwali</v>
      </c>
      <c r="J887" s="6">
        <f t="shared" si="26"/>
        <v>0.24561403508771928</v>
      </c>
      <c r="K887">
        <f t="shared" si="27"/>
        <v>17575</v>
      </c>
      <c r="L887" t="str">
        <f>VLOOKUP($B887,dim_stores!$A$1:$C$51,2,0)</f>
        <v>Hyderabad</v>
      </c>
    </row>
    <row r="888" spans="1:12" x14ac:dyDescent="0.3">
      <c r="A888" t="s">
        <v>899</v>
      </c>
      <c r="B888" t="s">
        <v>84</v>
      </c>
      <c r="C888" t="s">
        <v>15</v>
      </c>
      <c r="D888" t="s">
        <v>61</v>
      </c>
      <c r="E888">
        <v>172</v>
      </c>
      <c r="F888" t="s">
        <v>54</v>
      </c>
      <c r="G888">
        <v>334</v>
      </c>
      <c r="H888">
        <v>591</v>
      </c>
      <c r="I888" t="str">
        <f>_xlfn.XLOOKUP($C888,dim_campaigns!$D$2:$D$3,dim_campaigns!$A$2:$A$3,"",0)</f>
        <v>Diwali</v>
      </c>
      <c r="J888" s="6">
        <f t="shared" si="26"/>
        <v>0.76946107784431139</v>
      </c>
      <c r="K888">
        <f t="shared" si="27"/>
        <v>125554.84</v>
      </c>
      <c r="L888" t="str">
        <f>VLOOKUP($B888,dim_stores!$A$1:$C$51,2,0)</f>
        <v>Mysuru</v>
      </c>
    </row>
    <row r="889" spans="1:12" x14ac:dyDescent="0.3">
      <c r="A889" t="s">
        <v>900</v>
      </c>
      <c r="B889" t="s">
        <v>174</v>
      </c>
      <c r="C889" t="s">
        <v>10</v>
      </c>
      <c r="D889" t="s">
        <v>24</v>
      </c>
      <c r="E889">
        <v>3000</v>
      </c>
      <c r="F889" t="s">
        <v>25</v>
      </c>
      <c r="G889">
        <v>54</v>
      </c>
      <c r="H889">
        <v>125</v>
      </c>
      <c r="I889" t="str">
        <f>_xlfn.XLOOKUP($C889,dim_campaigns!$D$2:$D$3,dim_campaigns!$A$2:$A$3,"",0)</f>
        <v>Sankranti</v>
      </c>
      <c r="J889" s="6">
        <f t="shared" si="26"/>
        <v>1.3148148148148149</v>
      </c>
      <c r="K889">
        <f t="shared" si="27"/>
        <v>474500</v>
      </c>
      <c r="L889" t="str">
        <f>VLOOKUP($B889,dim_stores!$A$1:$C$51,2,0)</f>
        <v>Trivandrum</v>
      </c>
    </row>
    <row r="890" spans="1:12" x14ac:dyDescent="0.3">
      <c r="A890" t="s">
        <v>901</v>
      </c>
      <c r="B890" t="s">
        <v>190</v>
      </c>
      <c r="C890" t="s">
        <v>15</v>
      </c>
      <c r="D890" t="s">
        <v>85</v>
      </c>
      <c r="E890">
        <v>110</v>
      </c>
      <c r="F890" t="s">
        <v>12</v>
      </c>
      <c r="G890">
        <v>50</v>
      </c>
      <c r="H890">
        <v>76</v>
      </c>
      <c r="I890" t="str">
        <f>_xlfn.XLOOKUP($C890,dim_campaigns!$D$2:$D$3,dim_campaigns!$A$2:$A$3,"",0)</f>
        <v>Diwali</v>
      </c>
      <c r="J890" s="6">
        <f t="shared" si="26"/>
        <v>0.52</v>
      </c>
      <c r="K890">
        <f t="shared" si="27"/>
        <v>9680</v>
      </c>
      <c r="L890" t="str">
        <f>VLOOKUP($B890,dim_stores!$A$1:$C$51,2,0)</f>
        <v>Visakhapatnam</v>
      </c>
    </row>
    <row r="891" spans="1:12" x14ac:dyDescent="0.3">
      <c r="A891" t="s">
        <v>902</v>
      </c>
      <c r="B891" t="s">
        <v>60</v>
      </c>
      <c r="C891" t="s">
        <v>10</v>
      </c>
      <c r="D891" t="s">
        <v>24</v>
      </c>
      <c r="E891">
        <v>3000</v>
      </c>
      <c r="F891" t="s">
        <v>25</v>
      </c>
      <c r="G891">
        <v>79</v>
      </c>
      <c r="H891">
        <v>171</v>
      </c>
      <c r="I891" t="str">
        <f>_xlfn.XLOOKUP($C891,dim_campaigns!$D$2:$D$3,dim_campaigns!$A$2:$A$3,"",0)</f>
        <v>Sankranti</v>
      </c>
      <c r="J891" s="6">
        <f t="shared" si="26"/>
        <v>1.1645569620253164</v>
      </c>
      <c r="K891">
        <f t="shared" si="27"/>
        <v>664500</v>
      </c>
      <c r="L891" t="str">
        <f>VLOOKUP($B891,dim_stores!$A$1:$C$51,2,0)</f>
        <v>Trivandrum</v>
      </c>
    </row>
    <row r="892" spans="1:12" x14ac:dyDescent="0.3">
      <c r="A892" t="s">
        <v>903</v>
      </c>
      <c r="B892" t="s">
        <v>81</v>
      </c>
      <c r="C892" t="s">
        <v>10</v>
      </c>
      <c r="D892" t="s">
        <v>51</v>
      </c>
      <c r="E892">
        <v>370</v>
      </c>
      <c r="F892" t="s">
        <v>21</v>
      </c>
      <c r="G892">
        <v>273</v>
      </c>
      <c r="H892">
        <v>1201</v>
      </c>
      <c r="I892" t="str">
        <f>_xlfn.XLOOKUP($C892,dim_campaigns!$D$2:$D$3,dim_campaigns!$A$2:$A$3,"",0)</f>
        <v>Sankranti</v>
      </c>
      <c r="J892" s="6">
        <f t="shared" si="26"/>
        <v>3.3992673992673992</v>
      </c>
      <c r="K892">
        <f t="shared" si="27"/>
        <v>323195</v>
      </c>
      <c r="L892" t="str">
        <f>VLOOKUP($B892,dim_stores!$A$1:$C$51,2,0)</f>
        <v>Madurai</v>
      </c>
    </row>
    <row r="893" spans="1:12" x14ac:dyDescent="0.3">
      <c r="A893" t="s">
        <v>904</v>
      </c>
      <c r="B893" t="s">
        <v>174</v>
      </c>
      <c r="C893" t="s">
        <v>15</v>
      </c>
      <c r="D893" t="s">
        <v>35</v>
      </c>
      <c r="E893">
        <v>350</v>
      </c>
      <c r="F893" t="s">
        <v>21</v>
      </c>
      <c r="G893">
        <v>36</v>
      </c>
      <c r="H893">
        <v>122</v>
      </c>
      <c r="I893" t="str">
        <f>_xlfn.XLOOKUP($C893,dim_campaigns!$D$2:$D$3,dim_campaigns!$A$2:$A$3,"",0)</f>
        <v>Diwali</v>
      </c>
      <c r="J893" s="6">
        <f t="shared" si="26"/>
        <v>2.3888888888888888</v>
      </c>
      <c r="K893">
        <f t="shared" si="27"/>
        <v>33950</v>
      </c>
      <c r="L893" t="str">
        <f>VLOOKUP($B893,dim_stores!$A$1:$C$51,2,0)</f>
        <v>Trivandrum</v>
      </c>
    </row>
    <row r="894" spans="1:12" x14ac:dyDescent="0.3">
      <c r="A894" t="s">
        <v>905</v>
      </c>
      <c r="B894" t="s">
        <v>110</v>
      </c>
      <c r="C894" t="s">
        <v>10</v>
      </c>
      <c r="D894" t="s">
        <v>68</v>
      </c>
      <c r="E894">
        <v>1020</v>
      </c>
      <c r="F894" t="s">
        <v>21</v>
      </c>
      <c r="G894">
        <v>106</v>
      </c>
      <c r="H894">
        <v>424</v>
      </c>
      <c r="I894" t="str">
        <f>_xlfn.XLOOKUP($C894,dim_campaigns!$D$2:$D$3,dim_campaigns!$A$2:$A$3,"",0)</f>
        <v>Sankranti</v>
      </c>
      <c r="J894" s="6">
        <f t="shared" si="26"/>
        <v>3</v>
      </c>
      <c r="K894">
        <f t="shared" si="27"/>
        <v>324360</v>
      </c>
      <c r="L894" t="str">
        <f>VLOOKUP($B894,dim_stores!$A$1:$C$51,2,0)</f>
        <v>Chennai</v>
      </c>
    </row>
    <row r="895" spans="1:12" x14ac:dyDescent="0.3">
      <c r="A895" t="s">
        <v>906</v>
      </c>
      <c r="B895" t="s">
        <v>142</v>
      </c>
      <c r="C895" t="s">
        <v>10</v>
      </c>
      <c r="D895" t="s">
        <v>28</v>
      </c>
      <c r="E895">
        <v>55</v>
      </c>
      <c r="F895" t="s">
        <v>17</v>
      </c>
      <c r="G895">
        <v>15</v>
      </c>
      <c r="H895">
        <v>12</v>
      </c>
      <c r="I895" t="str">
        <f>_xlfn.XLOOKUP($C895,dim_campaigns!$D$2:$D$3,dim_campaigns!$A$2:$A$3,"",0)</f>
        <v>Sankranti</v>
      </c>
      <c r="J895" s="6">
        <f t="shared" si="26"/>
        <v>-0.2</v>
      </c>
      <c r="K895">
        <f t="shared" si="27"/>
        <v>1320</v>
      </c>
      <c r="L895" t="str">
        <f>VLOOKUP($B895,dim_stores!$A$1:$C$51,2,0)</f>
        <v>Madurai</v>
      </c>
    </row>
    <row r="896" spans="1:12" x14ac:dyDescent="0.3">
      <c r="A896" t="s">
        <v>907</v>
      </c>
      <c r="B896" t="s">
        <v>23</v>
      </c>
      <c r="C896" t="s">
        <v>10</v>
      </c>
      <c r="D896" t="s">
        <v>28</v>
      </c>
      <c r="E896">
        <v>55</v>
      </c>
      <c r="F896" t="s">
        <v>17</v>
      </c>
      <c r="G896">
        <v>25</v>
      </c>
      <c r="H896">
        <v>18</v>
      </c>
      <c r="I896" t="str">
        <f>_xlfn.XLOOKUP($C896,dim_campaigns!$D$2:$D$3,dim_campaigns!$A$2:$A$3,"",0)</f>
        <v>Sankranti</v>
      </c>
      <c r="J896" s="6">
        <f t="shared" si="26"/>
        <v>-0.28000000000000003</v>
      </c>
      <c r="K896">
        <f t="shared" si="27"/>
        <v>2117.5</v>
      </c>
      <c r="L896" t="str">
        <f>VLOOKUP($B896,dim_stores!$A$1:$C$51,2,0)</f>
        <v>Coimbatore</v>
      </c>
    </row>
    <row r="897" spans="1:12" x14ac:dyDescent="0.3">
      <c r="A897" t="s">
        <v>908</v>
      </c>
      <c r="B897" t="s">
        <v>212</v>
      </c>
      <c r="C897" t="s">
        <v>15</v>
      </c>
      <c r="D897" t="s">
        <v>24</v>
      </c>
      <c r="E897">
        <v>3000</v>
      </c>
      <c r="F897" t="s">
        <v>25</v>
      </c>
      <c r="G897">
        <v>416</v>
      </c>
      <c r="H897">
        <v>1389</v>
      </c>
      <c r="I897" t="str">
        <f>_xlfn.XLOOKUP($C897,dim_campaigns!$D$2:$D$3,dim_campaigns!$A$2:$A$3,"",0)</f>
        <v>Diwali</v>
      </c>
      <c r="J897" s="6">
        <f t="shared" si="26"/>
        <v>2.3389423076923075</v>
      </c>
      <c r="K897">
        <f t="shared" si="27"/>
        <v>4720500</v>
      </c>
      <c r="L897" t="str">
        <f>VLOOKUP($B897,dim_stores!$A$1:$C$51,2,0)</f>
        <v>Bengaluru</v>
      </c>
    </row>
    <row r="898" spans="1:12" x14ac:dyDescent="0.3">
      <c r="A898" t="s">
        <v>909</v>
      </c>
      <c r="B898" t="s">
        <v>40</v>
      </c>
      <c r="C898" t="s">
        <v>10</v>
      </c>
      <c r="D898" t="s">
        <v>28</v>
      </c>
      <c r="E898">
        <v>55</v>
      </c>
      <c r="F898" t="s">
        <v>17</v>
      </c>
      <c r="G898">
        <v>21</v>
      </c>
      <c r="H898">
        <v>17</v>
      </c>
      <c r="I898" t="str">
        <f>_xlfn.XLOOKUP($C898,dim_campaigns!$D$2:$D$3,dim_campaigns!$A$2:$A$3,"",0)</f>
        <v>Sankranti</v>
      </c>
      <c r="J898" s="6">
        <f t="shared" si="26"/>
        <v>-0.19047619047619047</v>
      </c>
      <c r="K898">
        <f t="shared" si="27"/>
        <v>1856.25</v>
      </c>
      <c r="L898" t="str">
        <f>VLOOKUP($B898,dim_stores!$A$1:$C$51,2,0)</f>
        <v>Madurai</v>
      </c>
    </row>
    <row r="899" spans="1:12" x14ac:dyDescent="0.3">
      <c r="A899" t="s">
        <v>910</v>
      </c>
      <c r="B899" t="s">
        <v>96</v>
      </c>
      <c r="C899" t="s">
        <v>10</v>
      </c>
      <c r="D899" t="s">
        <v>48</v>
      </c>
      <c r="E899">
        <v>62</v>
      </c>
      <c r="F899" t="s">
        <v>12</v>
      </c>
      <c r="G899">
        <v>60</v>
      </c>
      <c r="H899">
        <v>67</v>
      </c>
      <c r="I899" t="str">
        <f>_xlfn.XLOOKUP($C899,dim_campaigns!$D$2:$D$3,dim_campaigns!$A$2:$A$3,"",0)</f>
        <v>Sankranti</v>
      </c>
      <c r="J899" s="6">
        <f t="shared" ref="J899:J962" si="28">IFERROR((H899-G899)/G899,0)</f>
        <v>0.11666666666666667</v>
      </c>
      <c r="K899">
        <f t="shared" ref="K899:K962" si="29">E899*G899+(E899-IF(F899="500 Cashback",500,IF(F899="BOGOF",E899*50%,IF(F899="25% OFF",E899*25%,IF(F899="33% OFF",E899*33%,IF(F899="50% OFF",E899*50%,0))))))*H899</f>
        <v>5797</v>
      </c>
      <c r="L899" t="str">
        <f>VLOOKUP($B899,dim_stores!$A$1:$C$51,2,0)</f>
        <v>Mysuru</v>
      </c>
    </row>
    <row r="900" spans="1:12" x14ac:dyDescent="0.3">
      <c r="A900" t="s">
        <v>911</v>
      </c>
      <c r="B900" t="s">
        <v>110</v>
      </c>
      <c r="C900" t="s">
        <v>15</v>
      </c>
      <c r="D900" t="s">
        <v>85</v>
      </c>
      <c r="E900">
        <v>110</v>
      </c>
      <c r="F900" t="s">
        <v>12</v>
      </c>
      <c r="G900">
        <v>94</v>
      </c>
      <c r="H900">
        <v>119</v>
      </c>
      <c r="I900" t="str">
        <f>_xlfn.XLOOKUP($C900,dim_campaigns!$D$2:$D$3,dim_campaigns!$A$2:$A$3,"",0)</f>
        <v>Diwali</v>
      </c>
      <c r="J900" s="6">
        <f t="shared" si="28"/>
        <v>0.26595744680851063</v>
      </c>
      <c r="K900">
        <f t="shared" si="29"/>
        <v>16885</v>
      </c>
      <c r="L900" t="str">
        <f>VLOOKUP($B900,dim_stores!$A$1:$C$51,2,0)</f>
        <v>Chennai</v>
      </c>
    </row>
    <row r="901" spans="1:12" x14ac:dyDescent="0.3">
      <c r="A901" t="s">
        <v>912</v>
      </c>
      <c r="B901" t="s">
        <v>115</v>
      </c>
      <c r="C901" t="s">
        <v>10</v>
      </c>
      <c r="D901" t="s">
        <v>68</v>
      </c>
      <c r="E901">
        <v>1020</v>
      </c>
      <c r="F901" t="s">
        <v>21</v>
      </c>
      <c r="G901">
        <v>111</v>
      </c>
      <c r="H901">
        <v>429</v>
      </c>
      <c r="I901" t="str">
        <f>_xlfn.XLOOKUP($C901,dim_campaigns!$D$2:$D$3,dim_campaigns!$A$2:$A$3,"",0)</f>
        <v>Sankranti</v>
      </c>
      <c r="J901" s="6">
        <f t="shared" si="28"/>
        <v>2.8648648648648649</v>
      </c>
      <c r="K901">
        <f t="shared" si="29"/>
        <v>332010</v>
      </c>
      <c r="L901" t="str">
        <f>VLOOKUP($B901,dim_stores!$A$1:$C$51,2,0)</f>
        <v>Bengaluru</v>
      </c>
    </row>
    <row r="902" spans="1:12" x14ac:dyDescent="0.3">
      <c r="A902" t="s">
        <v>913</v>
      </c>
      <c r="B902" t="s">
        <v>65</v>
      </c>
      <c r="C902" t="s">
        <v>15</v>
      </c>
      <c r="D902" t="s">
        <v>43</v>
      </c>
      <c r="E902">
        <v>415</v>
      </c>
      <c r="F902" t="s">
        <v>17</v>
      </c>
      <c r="G902">
        <v>82</v>
      </c>
      <c r="H902">
        <v>80</v>
      </c>
      <c r="I902" t="str">
        <f>_xlfn.XLOOKUP($C902,dim_campaigns!$D$2:$D$3,dim_campaigns!$A$2:$A$3,"",0)</f>
        <v>Diwali</v>
      </c>
      <c r="J902" s="6">
        <f t="shared" si="28"/>
        <v>-2.4390243902439025E-2</v>
      </c>
      <c r="K902">
        <f t="shared" si="29"/>
        <v>58930</v>
      </c>
      <c r="L902" t="str">
        <f>VLOOKUP($B902,dim_stores!$A$1:$C$51,2,0)</f>
        <v>Hyderabad</v>
      </c>
    </row>
    <row r="903" spans="1:12" x14ac:dyDescent="0.3">
      <c r="A903" t="s">
        <v>914</v>
      </c>
      <c r="B903" t="s">
        <v>37</v>
      </c>
      <c r="C903" t="s">
        <v>15</v>
      </c>
      <c r="D903" t="s">
        <v>11</v>
      </c>
      <c r="E903">
        <v>190</v>
      </c>
      <c r="F903" t="s">
        <v>12</v>
      </c>
      <c r="G903">
        <v>59</v>
      </c>
      <c r="H903">
        <v>79</v>
      </c>
      <c r="I903" t="str">
        <f>_xlfn.XLOOKUP($C903,dim_campaigns!$D$2:$D$3,dim_campaigns!$A$2:$A$3,"",0)</f>
        <v>Diwali</v>
      </c>
      <c r="J903" s="6">
        <f t="shared" si="28"/>
        <v>0.33898305084745761</v>
      </c>
      <c r="K903">
        <f t="shared" si="29"/>
        <v>18715</v>
      </c>
      <c r="L903" t="str">
        <f>VLOOKUP($B903,dim_stores!$A$1:$C$51,2,0)</f>
        <v>Coimbatore</v>
      </c>
    </row>
    <row r="904" spans="1:12" x14ac:dyDescent="0.3">
      <c r="A904" t="s">
        <v>915</v>
      </c>
      <c r="B904" t="s">
        <v>60</v>
      </c>
      <c r="C904" t="s">
        <v>15</v>
      </c>
      <c r="D904" t="s">
        <v>48</v>
      </c>
      <c r="E904">
        <v>62</v>
      </c>
      <c r="F904" t="s">
        <v>12</v>
      </c>
      <c r="G904">
        <v>54</v>
      </c>
      <c r="H904">
        <v>68</v>
      </c>
      <c r="I904" t="str">
        <f>_xlfn.XLOOKUP($C904,dim_campaigns!$D$2:$D$3,dim_campaigns!$A$2:$A$3,"",0)</f>
        <v>Diwali</v>
      </c>
      <c r="J904" s="6">
        <f t="shared" si="28"/>
        <v>0.25925925925925924</v>
      </c>
      <c r="K904">
        <f t="shared" si="29"/>
        <v>5456</v>
      </c>
      <c r="L904" t="str">
        <f>VLOOKUP($B904,dim_stores!$A$1:$C$51,2,0)</f>
        <v>Trivandrum</v>
      </c>
    </row>
    <row r="905" spans="1:12" x14ac:dyDescent="0.3">
      <c r="A905" t="s">
        <v>916</v>
      </c>
      <c r="B905" t="s">
        <v>103</v>
      </c>
      <c r="C905" t="s">
        <v>15</v>
      </c>
      <c r="D905" t="s">
        <v>51</v>
      </c>
      <c r="E905">
        <v>290</v>
      </c>
      <c r="F905" t="s">
        <v>17</v>
      </c>
      <c r="G905">
        <v>318</v>
      </c>
      <c r="H905">
        <v>276</v>
      </c>
      <c r="I905" t="str">
        <f>_xlfn.XLOOKUP($C905,dim_campaigns!$D$2:$D$3,dim_campaigns!$A$2:$A$3,"",0)</f>
        <v>Diwali</v>
      </c>
      <c r="J905" s="6">
        <f t="shared" si="28"/>
        <v>-0.13207547169811321</v>
      </c>
      <c r="K905">
        <f t="shared" si="29"/>
        <v>152250</v>
      </c>
      <c r="L905" t="str">
        <f>VLOOKUP($B905,dim_stores!$A$1:$C$51,2,0)</f>
        <v>Hyderabad</v>
      </c>
    </row>
    <row r="906" spans="1:12" x14ac:dyDescent="0.3">
      <c r="A906" t="s">
        <v>917</v>
      </c>
      <c r="B906" t="s">
        <v>139</v>
      </c>
      <c r="C906" t="s">
        <v>10</v>
      </c>
      <c r="D906" t="s">
        <v>85</v>
      </c>
      <c r="E906">
        <v>90</v>
      </c>
      <c r="F906" t="s">
        <v>17</v>
      </c>
      <c r="G906">
        <v>39</v>
      </c>
      <c r="H906">
        <v>31</v>
      </c>
      <c r="I906" t="str">
        <f>_xlfn.XLOOKUP($C906,dim_campaigns!$D$2:$D$3,dim_campaigns!$A$2:$A$3,"",0)</f>
        <v>Sankranti</v>
      </c>
      <c r="J906" s="6">
        <f t="shared" si="28"/>
        <v>-0.20512820512820512</v>
      </c>
      <c r="K906">
        <f t="shared" si="29"/>
        <v>5602.5</v>
      </c>
      <c r="L906" t="str">
        <f>VLOOKUP($B906,dim_stores!$A$1:$C$51,2,0)</f>
        <v>Visakhapatnam</v>
      </c>
    </row>
    <row r="907" spans="1:12" x14ac:dyDescent="0.3">
      <c r="A907" t="s">
        <v>918</v>
      </c>
      <c r="B907" t="s">
        <v>117</v>
      </c>
      <c r="C907" t="s">
        <v>15</v>
      </c>
      <c r="D907" t="s">
        <v>48</v>
      </c>
      <c r="E907">
        <v>62</v>
      </c>
      <c r="F907" t="s">
        <v>12</v>
      </c>
      <c r="G907">
        <v>71</v>
      </c>
      <c r="H907">
        <v>90</v>
      </c>
      <c r="I907" t="str">
        <f>_xlfn.XLOOKUP($C907,dim_campaigns!$D$2:$D$3,dim_campaigns!$A$2:$A$3,"",0)</f>
        <v>Diwali</v>
      </c>
      <c r="J907" s="6">
        <f t="shared" si="28"/>
        <v>0.26760563380281688</v>
      </c>
      <c r="K907">
        <f t="shared" si="29"/>
        <v>7192</v>
      </c>
      <c r="L907" t="str">
        <f>VLOOKUP($B907,dim_stores!$A$1:$C$51,2,0)</f>
        <v>Mangalore</v>
      </c>
    </row>
    <row r="908" spans="1:12" x14ac:dyDescent="0.3">
      <c r="A908" t="s">
        <v>919</v>
      </c>
      <c r="B908" t="s">
        <v>50</v>
      </c>
      <c r="C908" t="s">
        <v>10</v>
      </c>
      <c r="D908" t="s">
        <v>20</v>
      </c>
      <c r="E908">
        <v>300</v>
      </c>
      <c r="F908" t="s">
        <v>21</v>
      </c>
      <c r="G908">
        <v>54</v>
      </c>
      <c r="H908">
        <v>217</v>
      </c>
      <c r="I908" t="str">
        <f>_xlfn.XLOOKUP($C908,dim_campaigns!$D$2:$D$3,dim_campaigns!$A$2:$A$3,"",0)</f>
        <v>Sankranti</v>
      </c>
      <c r="J908" s="6">
        <f t="shared" si="28"/>
        <v>3.0185185185185186</v>
      </c>
      <c r="K908">
        <f t="shared" si="29"/>
        <v>48750</v>
      </c>
      <c r="L908" t="str">
        <f>VLOOKUP($B908,dim_stores!$A$1:$C$51,2,0)</f>
        <v>Bengaluru</v>
      </c>
    </row>
    <row r="909" spans="1:12" x14ac:dyDescent="0.3">
      <c r="A909" t="s">
        <v>920</v>
      </c>
      <c r="B909" t="s">
        <v>96</v>
      </c>
      <c r="C909" t="s">
        <v>15</v>
      </c>
      <c r="D909" t="s">
        <v>38</v>
      </c>
      <c r="E909">
        <v>1190</v>
      </c>
      <c r="F909" t="s">
        <v>21</v>
      </c>
      <c r="G909">
        <v>29</v>
      </c>
      <c r="H909">
        <v>115</v>
      </c>
      <c r="I909" t="str">
        <f>_xlfn.XLOOKUP($C909,dim_campaigns!$D$2:$D$3,dim_campaigns!$A$2:$A$3,"",0)</f>
        <v>Diwali</v>
      </c>
      <c r="J909" s="6">
        <f t="shared" si="28"/>
        <v>2.9655172413793105</v>
      </c>
      <c r="K909">
        <f t="shared" si="29"/>
        <v>102935</v>
      </c>
      <c r="L909" t="str">
        <f>VLOOKUP($B909,dim_stores!$A$1:$C$51,2,0)</f>
        <v>Mysuru</v>
      </c>
    </row>
    <row r="910" spans="1:12" x14ac:dyDescent="0.3">
      <c r="A910" t="s">
        <v>921</v>
      </c>
      <c r="B910" t="s">
        <v>42</v>
      </c>
      <c r="C910" t="s">
        <v>10</v>
      </c>
      <c r="D910" t="s">
        <v>68</v>
      </c>
      <c r="E910">
        <v>1020</v>
      </c>
      <c r="F910" t="s">
        <v>21</v>
      </c>
      <c r="G910">
        <v>105</v>
      </c>
      <c r="H910">
        <v>276</v>
      </c>
      <c r="I910" t="str">
        <f>_xlfn.XLOOKUP($C910,dim_campaigns!$D$2:$D$3,dim_campaigns!$A$2:$A$3,"",0)</f>
        <v>Sankranti</v>
      </c>
      <c r="J910" s="6">
        <f t="shared" si="28"/>
        <v>1.6285714285714286</v>
      </c>
      <c r="K910">
        <f t="shared" si="29"/>
        <v>247860</v>
      </c>
      <c r="L910" t="str">
        <f>VLOOKUP($B910,dim_stores!$A$1:$C$51,2,0)</f>
        <v>Mysuru</v>
      </c>
    </row>
    <row r="911" spans="1:12" x14ac:dyDescent="0.3">
      <c r="A911" t="s">
        <v>922</v>
      </c>
      <c r="B911" t="s">
        <v>60</v>
      </c>
      <c r="C911" t="s">
        <v>10</v>
      </c>
      <c r="D911" t="s">
        <v>32</v>
      </c>
      <c r="E911">
        <v>50</v>
      </c>
      <c r="F911" t="s">
        <v>17</v>
      </c>
      <c r="G911">
        <v>18</v>
      </c>
      <c r="H911">
        <v>16</v>
      </c>
      <c r="I911" t="str">
        <f>_xlfn.XLOOKUP($C911,dim_campaigns!$D$2:$D$3,dim_campaigns!$A$2:$A$3,"",0)</f>
        <v>Sankranti</v>
      </c>
      <c r="J911" s="6">
        <f t="shared" si="28"/>
        <v>-0.1111111111111111</v>
      </c>
      <c r="K911">
        <f t="shared" si="29"/>
        <v>1500</v>
      </c>
      <c r="L911" t="str">
        <f>VLOOKUP($B911,dim_stores!$A$1:$C$51,2,0)</f>
        <v>Trivandrum</v>
      </c>
    </row>
    <row r="912" spans="1:12" x14ac:dyDescent="0.3">
      <c r="A912" s="1">
        <v>2.7000000000000002E+61</v>
      </c>
      <c r="B912" t="s">
        <v>103</v>
      </c>
      <c r="C912" t="s">
        <v>15</v>
      </c>
      <c r="D912" t="s">
        <v>28</v>
      </c>
      <c r="E912">
        <v>55</v>
      </c>
      <c r="F912" t="s">
        <v>17</v>
      </c>
      <c r="G912">
        <v>110</v>
      </c>
      <c r="H912">
        <v>96</v>
      </c>
      <c r="I912" t="str">
        <f>_xlfn.XLOOKUP($C912,dim_campaigns!$D$2:$D$3,dim_campaigns!$A$2:$A$3,"",0)</f>
        <v>Diwali</v>
      </c>
      <c r="J912" s="6">
        <f t="shared" si="28"/>
        <v>-0.12727272727272726</v>
      </c>
      <c r="K912">
        <f t="shared" si="29"/>
        <v>10010</v>
      </c>
      <c r="L912" t="str">
        <f>VLOOKUP($B912,dim_stores!$A$1:$C$51,2,0)</f>
        <v>Hyderabad</v>
      </c>
    </row>
    <row r="913" spans="1:12" x14ac:dyDescent="0.3">
      <c r="A913" t="s">
        <v>923</v>
      </c>
      <c r="B913" t="s">
        <v>207</v>
      </c>
      <c r="C913" t="s">
        <v>15</v>
      </c>
      <c r="D913" t="s">
        <v>11</v>
      </c>
      <c r="E913">
        <v>190</v>
      </c>
      <c r="F913" t="s">
        <v>12</v>
      </c>
      <c r="G913">
        <v>68</v>
      </c>
      <c r="H913">
        <v>104</v>
      </c>
      <c r="I913" t="str">
        <f>_xlfn.XLOOKUP($C913,dim_campaigns!$D$2:$D$3,dim_campaigns!$A$2:$A$3,"",0)</f>
        <v>Diwali</v>
      </c>
      <c r="J913" s="6">
        <f t="shared" si="28"/>
        <v>0.52941176470588236</v>
      </c>
      <c r="K913">
        <f t="shared" si="29"/>
        <v>22800</v>
      </c>
      <c r="L913" t="str">
        <f>VLOOKUP($B913,dim_stores!$A$1:$C$51,2,0)</f>
        <v>Hyderabad</v>
      </c>
    </row>
    <row r="914" spans="1:12" x14ac:dyDescent="0.3">
      <c r="A914" t="s">
        <v>924</v>
      </c>
      <c r="B914" t="s">
        <v>107</v>
      </c>
      <c r="C914" t="s">
        <v>10</v>
      </c>
      <c r="D914" t="s">
        <v>28</v>
      </c>
      <c r="E914">
        <v>55</v>
      </c>
      <c r="F914" t="s">
        <v>17</v>
      </c>
      <c r="G914">
        <v>21</v>
      </c>
      <c r="H914">
        <v>19</v>
      </c>
      <c r="I914" t="str">
        <f>_xlfn.XLOOKUP($C914,dim_campaigns!$D$2:$D$3,dim_campaigns!$A$2:$A$3,"",0)</f>
        <v>Sankranti</v>
      </c>
      <c r="J914" s="6">
        <f t="shared" si="28"/>
        <v>-9.5238095238095233E-2</v>
      </c>
      <c r="K914">
        <f t="shared" si="29"/>
        <v>1938.75</v>
      </c>
      <c r="L914" t="str">
        <f>VLOOKUP($B914,dim_stores!$A$1:$C$51,2,0)</f>
        <v>Coimbatore</v>
      </c>
    </row>
    <row r="915" spans="1:12" x14ac:dyDescent="0.3">
      <c r="A915" t="s">
        <v>925</v>
      </c>
      <c r="B915" t="s">
        <v>117</v>
      </c>
      <c r="C915" t="s">
        <v>10</v>
      </c>
      <c r="D915" t="s">
        <v>24</v>
      </c>
      <c r="E915">
        <v>3000</v>
      </c>
      <c r="F915" t="s">
        <v>25</v>
      </c>
      <c r="G915">
        <v>58</v>
      </c>
      <c r="H915">
        <v>128</v>
      </c>
      <c r="I915" t="str">
        <f>_xlfn.XLOOKUP($C915,dim_campaigns!$D$2:$D$3,dim_campaigns!$A$2:$A$3,"",0)</f>
        <v>Sankranti</v>
      </c>
      <c r="J915" s="6">
        <f t="shared" si="28"/>
        <v>1.2068965517241379</v>
      </c>
      <c r="K915">
        <f t="shared" si="29"/>
        <v>494000</v>
      </c>
      <c r="L915" t="str">
        <f>VLOOKUP($B915,dim_stores!$A$1:$C$51,2,0)</f>
        <v>Mangalore</v>
      </c>
    </row>
    <row r="916" spans="1:12" x14ac:dyDescent="0.3">
      <c r="A916" t="s">
        <v>926</v>
      </c>
      <c r="B916" t="s">
        <v>50</v>
      </c>
      <c r="C916" t="s">
        <v>15</v>
      </c>
      <c r="D916" t="s">
        <v>85</v>
      </c>
      <c r="E916">
        <v>110</v>
      </c>
      <c r="F916" t="s">
        <v>12</v>
      </c>
      <c r="G916">
        <v>66</v>
      </c>
      <c r="H916">
        <v>85</v>
      </c>
      <c r="I916" t="str">
        <f>_xlfn.XLOOKUP($C916,dim_campaigns!$D$2:$D$3,dim_campaigns!$A$2:$A$3,"",0)</f>
        <v>Diwali</v>
      </c>
      <c r="J916" s="6">
        <f t="shared" si="28"/>
        <v>0.2878787878787879</v>
      </c>
      <c r="K916">
        <f t="shared" si="29"/>
        <v>11935</v>
      </c>
      <c r="L916" t="str">
        <f>VLOOKUP($B916,dim_stores!$A$1:$C$51,2,0)</f>
        <v>Bengaluru</v>
      </c>
    </row>
    <row r="917" spans="1:12" x14ac:dyDescent="0.3">
      <c r="A917" t="s">
        <v>927</v>
      </c>
      <c r="B917" t="s">
        <v>42</v>
      </c>
      <c r="C917" t="s">
        <v>10</v>
      </c>
      <c r="D917" t="s">
        <v>51</v>
      </c>
      <c r="E917">
        <v>370</v>
      </c>
      <c r="F917" t="s">
        <v>21</v>
      </c>
      <c r="G917">
        <v>240</v>
      </c>
      <c r="H917">
        <v>636</v>
      </c>
      <c r="I917" t="str">
        <f>_xlfn.XLOOKUP($C917,dim_campaigns!$D$2:$D$3,dim_campaigns!$A$2:$A$3,"",0)</f>
        <v>Sankranti</v>
      </c>
      <c r="J917" s="6">
        <f t="shared" si="28"/>
        <v>1.65</v>
      </c>
      <c r="K917">
        <f t="shared" si="29"/>
        <v>206460</v>
      </c>
      <c r="L917" t="str">
        <f>VLOOKUP($B917,dim_stores!$A$1:$C$51,2,0)</f>
        <v>Mysuru</v>
      </c>
    </row>
    <row r="918" spans="1:12" x14ac:dyDescent="0.3">
      <c r="A918" t="s">
        <v>928</v>
      </c>
      <c r="B918" t="s">
        <v>207</v>
      </c>
      <c r="C918" t="s">
        <v>10</v>
      </c>
      <c r="D918" t="s">
        <v>61</v>
      </c>
      <c r="E918">
        <v>172</v>
      </c>
      <c r="F918" t="s">
        <v>54</v>
      </c>
      <c r="G918">
        <v>250</v>
      </c>
      <c r="H918">
        <v>382</v>
      </c>
      <c r="I918" t="str">
        <f>_xlfn.XLOOKUP($C918,dim_campaigns!$D$2:$D$3,dim_campaigns!$A$2:$A$3,"",0)</f>
        <v>Sankranti</v>
      </c>
      <c r="J918" s="6">
        <f t="shared" si="28"/>
        <v>0.52800000000000002</v>
      </c>
      <c r="K918">
        <f t="shared" si="29"/>
        <v>87021.68</v>
      </c>
      <c r="L918" t="str">
        <f>VLOOKUP($B918,dim_stores!$A$1:$C$51,2,0)</f>
        <v>Hyderabad</v>
      </c>
    </row>
    <row r="919" spans="1:12" x14ac:dyDescent="0.3">
      <c r="A919" t="s">
        <v>929</v>
      </c>
      <c r="B919" t="s">
        <v>19</v>
      </c>
      <c r="C919" t="s">
        <v>10</v>
      </c>
      <c r="D919" t="s">
        <v>35</v>
      </c>
      <c r="E919">
        <v>350</v>
      </c>
      <c r="F919" t="s">
        <v>21</v>
      </c>
      <c r="G919">
        <v>60</v>
      </c>
      <c r="H919">
        <v>234</v>
      </c>
      <c r="I919" t="str">
        <f>_xlfn.XLOOKUP($C919,dim_campaigns!$D$2:$D$3,dim_campaigns!$A$2:$A$3,"",0)</f>
        <v>Sankranti</v>
      </c>
      <c r="J919" s="6">
        <f t="shared" si="28"/>
        <v>2.9</v>
      </c>
      <c r="K919">
        <f t="shared" si="29"/>
        <v>61950</v>
      </c>
      <c r="L919" t="str">
        <f>VLOOKUP($B919,dim_stores!$A$1:$C$51,2,0)</f>
        <v>Vijayawada</v>
      </c>
    </row>
    <row r="920" spans="1:12" x14ac:dyDescent="0.3">
      <c r="A920" t="s">
        <v>930</v>
      </c>
      <c r="B920" t="s">
        <v>78</v>
      </c>
      <c r="C920" t="s">
        <v>10</v>
      </c>
      <c r="D920" t="s">
        <v>20</v>
      </c>
      <c r="E920">
        <v>300</v>
      </c>
      <c r="F920" t="s">
        <v>21</v>
      </c>
      <c r="G920">
        <v>46</v>
      </c>
      <c r="H920">
        <v>120</v>
      </c>
      <c r="I920" t="str">
        <f>_xlfn.XLOOKUP($C920,dim_campaigns!$D$2:$D$3,dim_campaigns!$A$2:$A$3,"",0)</f>
        <v>Sankranti</v>
      </c>
      <c r="J920" s="6">
        <f t="shared" si="28"/>
        <v>1.6086956521739131</v>
      </c>
      <c r="K920">
        <f t="shared" si="29"/>
        <v>31800</v>
      </c>
      <c r="L920" t="str">
        <f>VLOOKUP($B920,dim_stores!$A$1:$C$51,2,0)</f>
        <v>Mysuru</v>
      </c>
    </row>
    <row r="921" spans="1:12" x14ac:dyDescent="0.3">
      <c r="A921">
        <v>25902</v>
      </c>
      <c r="B921" t="s">
        <v>42</v>
      </c>
      <c r="C921" t="s">
        <v>15</v>
      </c>
      <c r="D921" t="s">
        <v>11</v>
      </c>
      <c r="E921">
        <v>190</v>
      </c>
      <c r="F921" t="s">
        <v>12</v>
      </c>
      <c r="G921">
        <v>70</v>
      </c>
      <c r="H921">
        <v>93</v>
      </c>
      <c r="I921" t="str">
        <f>_xlfn.XLOOKUP($C921,dim_campaigns!$D$2:$D$3,dim_campaigns!$A$2:$A$3,"",0)</f>
        <v>Diwali</v>
      </c>
      <c r="J921" s="6">
        <f t="shared" si="28"/>
        <v>0.32857142857142857</v>
      </c>
      <c r="K921">
        <f t="shared" si="29"/>
        <v>22135</v>
      </c>
      <c r="L921" t="str">
        <f>VLOOKUP($B921,dim_stores!$A$1:$C$51,2,0)</f>
        <v>Mysuru</v>
      </c>
    </row>
    <row r="922" spans="1:12" x14ac:dyDescent="0.3">
      <c r="A922" t="s">
        <v>931</v>
      </c>
      <c r="B922" t="s">
        <v>117</v>
      </c>
      <c r="C922" t="s">
        <v>10</v>
      </c>
      <c r="D922" t="s">
        <v>51</v>
      </c>
      <c r="E922">
        <v>370</v>
      </c>
      <c r="F922" t="s">
        <v>21</v>
      </c>
      <c r="G922">
        <v>220</v>
      </c>
      <c r="H922">
        <v>886</v>
      </c>
      <c r="I922" t="str">
        <f>_xlfn.XLOOKUP($C922,dim_campaigns!$D$2:$D$3,dim_campaigns!$A$2:$A$3,"",0)</f>
        <v>Sankranti</v>
      </c>
      <c r="J922" s="6">
        <f t="shared" si="28"/>
        <v>3.0272727272727273</v>
      </c>
      <c r="K922">
        <f t="shared" si="29"/>
        <v>245310</v>
      </c>
      <c r="L922" t="str">
        <f>VLOOKUP($B922,dim_stores!$A$1:$C$51,2,0)</f>
        <v>Mangalore</v>
      </c>
    </row>
    <row r="923" spans="1:12" x14ac:dyDescent="0.3">
      <c r="A923" t="s">
        <v>932</v>
      </c>
      <c r="B923" t="s">
        <v>174</v>
      </c>
      <c r="C923" t="s">
        <v>15</v>
      </c>
      <c r="D923" t="s">
        <v>38</v>
      </c>
      <c r="E923">
        <v>1190</v>
      </c>
      <c r="F923" t="s">
        <v>21</v>
      </c>
      <c r="G923">
        <v>28</v>
      </c>
      <c r="H923">
        <v>92</v>
      </c>
      <c r="I923" t="str">
        <f>_xlfn.XLOOKUP($C923,dim_campaigns!$D$2:$D$3,dim_campaigns!$A$2:$A$3,"",0)</f>
        <v>Diwali</v>
      </c>
      <c r="J923" s="6">
        <f t="shared" si="28"/>
        <v>2.2857142857142856</v>
      </c>
      <c r="K923">
        <f t="shared" si="29"/>
        <v>88060</v>
      </c>
      <c r="L923" t="str">
        <f>VLOOKUP($B923,dim_stores!$A$1:$C$51,2,0)</f>
        <v>Trivandrum</v>
      </c>
    </row>
    <row r="924" spans="1:12" x14ac:dyDescent="0.3">
      <c r="A924" t="s">
        <v>933</v>
      </c>
      <c r="B924" t="s">
        <v>123</v>
      </c>
      <c r="C924" t="s">
        <v>15</v>
      </c>
      <c r="D924" t="s">
        <v>24</v>
      </c>
      <c r="E924">
        <v>3000</v>
      </c>
      <c r="F924" t="s">
        <v>25</v>
      </c>
      <c r="G924">
        <v>369</v>
      </c>
      <c r="H924">
        <v>1007</v>
      </c>
      <c r="I924" t="str">
        <f>_xlfn.XLOOKUP($C924,dim_campaigns!$D$2:$D$3,dim_campaigns!$A$2:$A$3,"",0)</f>
        <v>Diwali</v>
      </c>
      <c r="J924" s="6">
        <f t="shared" si="28"/>
        <v>1.7289972899728998</v>
      </c>
      <c r="K924">
        <f t="shared" si="29"/>
        <v>3624500</v>
      </c>
      <c r="L924" t="str">
        <f>VLOOKUP($B924,dim_stores!$A$1:$C$51,2,0)</f>
        <v>Bengaluru</v>
      </c>
    </row>
    <row r="925" spans="1:12" x14ac:dyDescent="0.3">
      <c r="A925" t="s">
        <v>934</v>
      </c>
      <c r="B925" t="s">
        <v>103</v>
      </c>
      <c r="C925" t="s">
        <v>15</v>
      </c>
      <c r="D925" t="s">
        <v>20</v>
      </c>
      <c r="E925">
        <v>300</v>
      </c>
      <c r="F925" t="s">
        <v>21</v>
      </c>
      <c r="G925">
        <v>59</v>
      </c>
      <c r="H925">
        <v>176</v>
      </c>
      <c r="I925" t="str">
        <f>_xlfn.XLOOKUP($C925,dim_campaigns!$D$2:$D$3,dim_campaigns!$A$2:$A$3,"",0)</f>
        <v>Diwali</v>
      </c>
      <c r="J925" s="6">
        <f t="shared" si="28"/>
        <v>1.9830508474576272</v>
      </c>
      <c r="K925">
        <f t="shared" si="29"/>
        <v>44100</v>
      </c>
      <c r="L925" t="str">
        <f>VLOOKUP($B925,dim_stores!$A$1:$C$51,2,0)</f>
        <v>Hyderabad</v>
      </c>
    </row>
    <row r="926" spans="1:12" x14ac:dyDescent="0.3">
      <c r="A926" t="s">
        <v>935</v>
      </c>
      <c r="B926" t="s">
        <v>31</v>
      </c>
      <c r="C926" t="s">
        <v>15</v>
      </c>
      <c r="D926" t="s">
        <v>48</v>
      </c>
      <c r="E926">
        <v>62</v>
      </c>
      <c r="F926" t="s">
        <v>12</v>
      </c>
      <c r="G926">
        <v>80</v>
      </c>
      <c r="H926">
        <v>124</v>
      </c>
      <c r="I926" t="str">
        <f>_xlfn.XLOOKUP($C926,dim_campaigns!$D$2:$D$3,dim_campaigns!$A$2:$A$3,"",0)</f>
        <v>Diwali</v>
      </c>
      <c r="J926" s="6">
        <f t="shared" si="28"/>
        <v>0.55000000000000004</v>
      </c>
      <c r="K926">
        <f t="shared" si="29"/>
        <v>8804</v>
      </c>
      <c r="L926" t="str">
        <f>VLOOKUP($B926,dim_stores!$A$1:$C$51,2,0)</f>
        <v>Visakhapatnam</v>
      </c>
    </row>
    <row r="927" spans="1:12" x14ac:dyDescent="0.3">
      <c r="A927" t="s">
        <v>936</v>
      </c>
      <c r="B927" t="s">
        <v>174</v>
      </c>
      <c r="C927" t="s">
        <v>15</v>
      </c>
      <c r="D927" t="s">
        <v>11</v>
      </c>
      <c r="E927">
        <v>190</v>
      </c>
      <c r="F927" t="s">
        <v>12</v>
      </c>
      <c r="G927">
        <v>33</v>
      </c>
      <c r="H927">
        <v>43</v>
      </c>
      <c r="I927" t="str">
        <f>_xlfn.XLOOKUP($C927,dim_campaigns!$D$2:$D$3,dim_campaigns!$A$2:$A$3,"",0)</f>
        <v>Diwali</v>
      </c>
      <c r="J927" s="6">
        <f t="shared" si="28"/>
        <v>0.30303030303030304</v>
      </c>
      <c r="K927">
        <f t="shared" si="29"/>
        <v>10355</v>
      </c>
      <c r="L927" t="str">
        <f>VLOOKUP($B927,dim_stores!$A$1:$C$51,2,0)</f>
        <v>Trivandrum</v>
      </c>
    </row>
    <row r="928" spans="1:12" x14ac:dyDescent="0.3">
      <c r="A928" t="s">
        <v>937</v>
      </c>
      <c r="B928" t="s">
        <v>40</v>
      </c>
      <c r="C928" t="s">
        <v>10</v>
      </c>
      <c r="D928" t="s">
        <v>85</v>
      </c>
      <c r="E928">
        <v>90</v>
      </c>
      <c r="F928" t="s">
        <v>17</v>
      </c>
      <c r="G928">
        <v>49</v>
      </c>
      <c r="H928">
        <v>39</v>
      </c>
      <c r="I928" t="str">
        <f>_xlfn.XLOOKUP($C928,dim_campaigns!$D$2:$D$3,dim_campaigns!$A$2:$A$3,"",0)</f>
        <v>Sankranti</v>
      </c>
      <c r="J928" s="6">
        <f t="shared" si="28"/>
        <v>-0.20408163265306123</v>
      </c>
      <c r="K928">
        <f t="shared" si="29"/>
        <v>7042.5</v>
      </c>
      <c r="L928" t="str">
        <f>VLOOKUP($B928,dim_stores!$A$1:$C$51,2,0)</f>
        <v>Madurai</v>
      </c>
    </row>
    <row r="929" spans="1:12" x14ac:dyDescent="0.3">
      <c r="A929" t="s">
        <v>938</v>
      </c>
      <c r="B929" t="s">
        <v>96</v>
      </c>
      <c r="C929" t="s">
        <v>10</v>
      </c>
      <c r="D929" t="s">
        <v>43</v>
      </c>
      <c r="E929">
        <v>415</v>
      </c>
      <c r="F929" t="s">
        <v>17</v>
      </c>
      <c r="G929">
        <v>28</v>
      </c>
      <c r="H929">
        <v>23</v>
      </c>
      <c r="I929" t="str">
        <f>_xlfn.XLOOKUP($C929,dim_campaigns!$D$2:$D$3,dim_campaigns!$A$2:$A$3,"",0)</f>
        <v>Sankranti</v>
      </c>
      <c r="J929" s="6">
        <f t="shared" si="28"/>
        <v>-0.17857142857142858</v>
      </c>
      <c r="K929">
        <f t="shared" si="29"/>
        <v>18778.75</v>
      </c>
      <c r="L929" t="str">
        <f>VLOOKUP($B929,dim_stores!$A$1:$C$51,2,0)</f>
        <v>Mysuru</v>
      </c>
    </row>
    <row r="930" spans="1:12" x14ac:dyDescent="0.3">
      <c r="A930" t="s">
        <v>939</v>
      </c>
      <c r="B930" t="s">
        <v>123</v>
      </c>
      <c r="C930" t="s">
        <v>15</v>
      </c>
      <c r="D930" t="s">
        <v>16</v>
      </c>
      <c r="E930">
        <v>156</v>
      </c>
      <c r="F930" t="s">
        <v>17</v>
      </c>
      <c r="G930">
        <v>385</v>
      </c>
      <c r="H930">
        <v>369</v>
      </c>
      <c r="I930" t="str">
        <f>_xlfn.XLOOKUP($C930,dim_campaigns!$D$2:$D$3,dim_campaigns!$A$2:$A$3,"",0)</f>
        <v>Diwali</v>
      </c>
      <c r="J930" s="6">
        <f t="shared" si="28"/>
        <v>-4.1558441558441558E-2</v>
      </c>
      <c r="K930">
        <f t="shared" si="29"/>
        <v>103233</v>
      </c>
      <c r="L930" t="str">
        <f>VLOOKUP($B930,dim_stores!$A$1:$C$51,2,0)</f>
        <v>Bengaluru</v>
      </c>
    </row>
    <row r="931" spans="1:12" x14ac:dyDescent="0.3">
      <c r="A931" t="s">
        <v>940</v>
      </c>
      <c r="B931" t="s">
        <v>47</v>
      </c>
      <c r="C931" t="s">
        <v>10</v>
      </c>
      <c r="D931" t="s">
        <v>43</v>
      </c>
      <c r="E931">
        <v>415</v>
      </c>
      <c r="F931" t="s">
        <v>17</v>
      </c>
      <c r="G931">
        <v>40</v>
      </c>
      <c r="H931">
        <v>28</v>
      </c>
      <c r="I931" t="str">
        <f>_xlfn.XLOOKUP($C931,dim_campaigns!$D$2:$D$3,dim_campaigns!$A$2:$A$3,"",0)</f>
        <v>Sankranti</v>
      </c>
      <c r="J931" s="6">
        <f t="shared" si="28"/>
        <v>-0.3</v>
      </c>
      <c r="K931">
        <f t="shared" si="29"/>
        <v>25315</v>
      </c>
      <c r="L931" t="str">
        <f>VLOOKUP($B931,dim_stores!$A$1:$C$51,2,0)</f>
        <v>Chennai</v>
      </c>
    </row>
    <row r="932" spans="1:12" x14ac:dyDescent="0.3">
      <c r="A932" t="s">
        <v>941</v>
      </c>
      <c r="B932" t="s">
        <v>126</v>
      </c>
      <c r="C932" t="s">
        <v>10</v>
      </c>
      <c r="D932" t="s">
        <v>53</v>
      </c>
      <c r="E932">
        <v>860</v>
      </c>
      <c r="F932" t="s">
        <v>54</v>
      </c>
      <c r="G932">
        <v>243</v>
      </c>
      <c r="H932">
        <v>332</v>
      </c>
      <c r="I932" t="str">
        <f>_xlfn.XLOOKUP($C932,dim_campaigns!$D$2:$D$3,dim_campaigns!$A$2:$A$3,"",0)</f>
        <v>Sankranti</v>
      </c>
      <c r="J932" s="6">
        <f t="shared" si="28"/>
        <v>0.36625514403292181</v>
      </c>
      <c r="K932">
        <f t="shared" si="29"/>
        <v>400278.4</v>
      </c>
      <c r="L932" t="str">
        <f>VLOOKUP($B932,dim_stores!$A$1:$C$51,2,0)</f>
        <v>Mangalore</v>
      </c>
    </row>
    <row r="933" spans="1:12" x14ac:dyDescent="0.3">
      <c r="A933" t="s">
        <v>942</v>
      </c>
      <c r="B933" t="s">
        <v>137</v>
      </c>
      <c r="C933" t="s">
        <v>15</v>
      </c>
      <c r="D933" t="s">
        <v>28</v>
      </c>
      <c r="E933">
        <v>55</v>
      </c>
      <c r="F933" t="s">
        <v>17</v>
      </c>
      <c r="G933">
        <v>47</v>
      </c>
      <c r="H933">
        <v>40</v>
      </c>
      <c r="I933" t="str">
        <f>_xlfn.XLOOKUP($C933,dim_campaigns!$D$2:$D$3,dim_campaigns!$A$2:$A$3,"",0)</f>
        <v>Diwali</v>
      </c>
      <c r="J933" s="6">
        <f t="shared" si="28"/>
        <v>-0.14893617021276595</v>
      </c>
      <c r="K933">
        <f t="shared" si="29"/>
        <v>4235</v>
      </c>
      <c r="L933" t="str">
        <f>VLOOKUP($B933,dim_stores!$A$1:$C$51,2,0)</f>
        <v>Mangalore</v>
      </c>
    </row>
    <row r="934" spans="1:12" x14ac:dyDescent="0.3">
      <c r="A934" t="s">
        <v>943</v>
      </c>
      <c r="B934" t="s">
        <v>212</v>
      </c>
      <c r="C934" t="s">
        <v>15</v>
      </c>
      <c r="D934" t="s">
        <v>11</v>
      </c>
      <c r="E934">
        <v>190</v>
      </c>
      <c r="F934" t="s">
        <v>12</v>
      </c>
      <c r="G934">
        <v>84</v>
      </c>
      <c r="H934">
        <v>131</v>
      </c>
      <c r="I934" t="str">
        <f>_xlfn.XLOOKUP($C934,dim_campaigns!$D$2:$D$3,dim_campaigns!$A$2:$A$3,"",0)</f>
        <v>Diwali</v>
      </c>
      <c r="J934" s="6">
        <f t="shared" si="28"/>
        <v>0.55952380952380953</v>
      </c>
      <c r="K934">
        <f t="shared" si="29"/>
        <v>28405</v>
      </c>
      <c r="L934" t="str">
        <f>VLOOKUP($B934,dim_stores!$A$1:$C$51,2,0)</f>
        <v>Bengaluru</v>
      </c>
    </row>
    <row r="935" spans="1:12" x14ac:dyDescent="0.3">
      <c r="A935" t="s">
        <v>944</v>
      </c>
      <c r="B935" t="s">
        <v>14</v>
      </c>
      <c r="C935" t="s">
        <v>15</v>
      </c>
      <c r="D935" t="s">
        <v>20</v>
      </c>
      <c r="E935">
        <v>300</v>
      </c>
      <c r="F935" t="s">
        <v>21</v>
      </c>
      <c r="G935">
        <v>63</v>
      </c>
      <c r="H935">
        <v>221</v>
      </c>
      <c r="I935" t="str">
        <f>_xlfn.XLOOKUP($C935,dim_campaigns!$D$2:$D$3,dim_campaigns!$A$2:$A$3,"",0)</f>
        <v>Diwali</v>
      </c>
      <c r="J935" s="6">
        <f t="shared" si="28"/>
        <v>2.5079365079365079</v>
      </c>
      <c r="K935">
        <f t="shared" si="29"/>
        <v>52050</v>
      </c>
      <c r="L935" t="str">
        <f>VLOOKUP($B935,dim_stores!$A$1:$C$51,2,0)</f>
        <v>Bengaluru</v>
      </c>
    </row>
    <row r="936" spans="1:12" x14ac:dyDescent="0.3">
      <c r="A936" t="s">
        <v>945</v>
      </c>
      <c r="B936" t="s">
        <v>142</v>
      </c>
      <c r="C936" t="s">
        <v>15</v>
      </c>
      <c r="D936" t="s">
        <v>16</v>
      </c>
      <c r="E936">
        <v>156</v>
      </c>
      <c r="F936" t="s">
        <v>17</v>
      </c>
      <c r="G936">
        <v>281</v>
      </c>
      <c r="H936">
        <v>244</v>
      </c>
      <c r="I936" t="str">
        <f>_xlfn.XLOOKUP($C936,dim_campaigns!$D$2:$D$3,dim_campaigns!$A$2:$A$3,"",0)</f>
        <v>Diwali</v>
      </c>
      <c r="J936" s="6">
        <f t="shared" si="28"/>
        <v>-0.13167259786476868</v>
      </c>
      <c r="K936">
        <f t="shared" si="29"/>
        <v>72384</v>
      </c>
      <c r="L936" t="str">
        <f>VLOOKUP($B936,dim_stores!$A$1:$C$51,2,0)</f>
        <v>Madurai</v>
      </c>
    </row>
    <row r="937" spans="1:12" x14ac:dyDescent="0.3">
      <c r="A937" t="s">
        <v>946</v>
      </c>
      <c r="B937" t="s">
        <v>29</v>
      </c>
      <c r="C937" t="s">
        <v>10</v>
      </c>
      <c r="D937" t="s">
        <v>11</v>
      </c>
      <c r="E937">
        <v>190</v>
      </c>
      <c r="F937" t="s">
        <v>12</v>
      </c>
      <c r="G937">
        <v>43</v>
      </c>
      <c r="H937">
        <v>59</v>
      </c>
      <c r="I937" t="str">
        <f>_xlfn.XLOOKUP($C937,dim_campaigns!$D$2:$D$3,dim_campaigns!$A$2:$A$3,"",0)</f>
        <v>Sankranti</v>
      </c>
      <c r="J937" s="6">
        <f t="shared" si="28"/>
        <v>0.37209302325581395</v>
      </c>
      <c r="K937">
        <f t="shared" si="29"/>
        <v>13775</v>
      </c>
      <c r="L937" t="str">
        <f>VLOOKUP($B937,dim_stores!$A$1:$C$51,2,0)</f>
        <v>Bengaluru</v>
      </c>
    </row>
    <row r="938" spans="1:12" x14ac:dyDescent="0.3">
      <c r="A938" t="s">
        <v>947</v>
      </c>
      <c r="B938" t="s">
        <v>110</v>
      </c>
      <c r="C938" t="s">
        <v>10</v>
      </c>
      <c r="D938" t="s">
        <v>61</v>
      </c>
      <c r="E938">
        <v>172</v>
      </c>
      <c r="F938" t="s">
        <v>54</v>
      </c>
      <c r="G938">
        <v>237</v>
      </c>
      <c r="H938">
        <v>341</v>
      </c>
      <c r="I938" t="str">
        <f>_xlfn.XLOOKUP($C938,dim_campaigns!$D$2:$D$3,dim_campaigns!$A$2:$A$3,"",0)</f>
        <v>Sankranti</v>
      </c>
      <c r="J938" s="6">
        <f t="shared" si="28"/>
        <v>0.43881856540084391</v>
      </c>
      <c r="K938">
        <f t="shared" si="29"/>
        <v>80060.84</v>
      </c>
      <c r="L938" t="str">
        <f>VLOOKUP($B938,dim_stores!$A$1:$C$51,2,0)</f>
        <v>Chennai</v>
      </c>
    </row>
    <row r="939" spans="1:12" x14ac:dyDescent="0.3">
      <c r="A939" t="s">
        <v>948</v>
      </c>
      <c r="B939" t="s">
        <v>75</v>
      </c>
      <c r="C939" t="s">
        <v>10</v>
      </c>
      <c r="D939" t="s">
        <v>28</v>
      </c>
      <c r="E939">
        <v>55</v>
      </c>
      <c r="F939" t="s">
        <v>17</v>
      </c>
      <c r="G939">
        <v>16</v>
      </c>
      <c r="H939">
        <v>12</v>
      </c>
      <c r="I939" t="str">
        <f>_xlfn.XLOOKUP($C939,dim_campaigns!$D$2:$D$3,dim_campaigns!$A$2:$A$3,"",0)</f>
        <v>Sankranti</v>
      </c>
      <c r="J939" s="6">
        <f t="shared" si="28"/>
        <v>-0.25</v>
      </c>
      <c r="K939">
        <f t="shared" si="29"/>
        <v>1375</v>
      </c>
      <c r="L939" t="str">
        <f>VLOOKUP($B939,dim_stores!$A$1:$C$51,2,0)</f>
        <v>Madurai</v>
      </c>
    </row>
    <row r="940" spans="1:12" x14ac:dyDescent="0.3">
      <c r="A940" t="s">
        <v>949</v>
      </c>
      <c r="B940" t="s">
        <v>23</v>
      </c>
      <c r="C940" t="s">
        <v>15</v>
      </c>
      <c r="D940" t="s">
        <v>48</v>
      </c>
      <c r="E940">
        <v>62</v>
      </c>
      <c r="F940" t="s">
        <v>12</v>
      </c>
      <c r="G940">
        <v>98</v>
      </c>
      <c r="H940">
        <v>109</v>
      </c>
      <c r="I940" t="str">
        <f>_xlfn.XLOOKUP($C940,dim_campaigns!$D$2:$D$3,dim_campaigns!$A$2:$A$3,"",0)</f>
        <v>Diwali</v>
      </c>
      <c r="J940" s="6">
        <f t="shared" si="28"/>
        <v>0.11224489795918367</v>
      </c>
      <c r="K940">
        <f t="shared" si="29"/>
        <v>9455</v>
      </c>
      <c r="L940" t="str">
        <f>VLOOKUP($B940,dim_stores!$A$1:$C$51,2,0)</f>
        <v>Coimbatore</v>
      </c>
    </row>
    <row r="941" spans="1:12" x14ac:dyDescent="0.3">
      <c r="A941" t="s">
        <v>950</v>
      </c>
      <c r="B941" t="s">
        <v>174</v>
      </c>
      <c r="C941" t="s">
        <v>15</v>
      </c>
      <c r="D941" t="s">
        <v>51</v>
      </c>
      <c r="E941">
        <v>290</v>
      </c>
      <c r="F941" t="s">
        <v>17</v>
      </c>
      <c r="G941">
        <v>169</v>
      </c>
      <c r="H941">
        <v>160</v>
      </c>
      <c r="I941" t="str">
        <f>_xlfn.XLOOKUP($C941,dim_campaigns!$D$2:$D$3,dim_campaigns!$A$2:$A$3,"",0)</f>
        <v>Diwali</v>
      </c>
      <c r="J941" s="6">
        <f t="shared" si="28"/>
        <v>-5.3254437869822487E-2</v>
      </c>
      <c r="K941">
        <f t="shared" si="29"/>
        <v>83810</v>
      </c>
      <c r="L941" t="str">
        <f>VLOOKUP($B941,dim_stores!$A$1:$C$51,2,0)</f>
        <v>Trivandrum</v>
      </c>
    </row>
    <row r="942" spans="1:12" x14ac:dyDescent="0.3">
      <c r="A942" t="s">
        <v>951</v>
      </c>
      <c r="B942" t="s">
        <v>42</v>
      </c>
      <c r="C942" t="s">
        <v>10</v>
      </c>
      <c r="D942" t="s">
        <v>48</v>
      </c>
      <c r="E942">
        <v>62</v>
      </c>
      <c r="F942" t="s">
        <v>12</v>
      </c>
      <c r="G942">
        <v>61</v>
      </c>
      <c r="H942">
        <v>87</v>
      </c>
      <c r="I942" t="str">
        <f>_xlfn.XLOOKUP($C942,dim_campaigns!$D$2:$D$3,dim_campaigns!$A$2:$A$3,"",0)</f>
        <v>Sankranti</v>
      </c>
      <c r="J942" s="6">
        <f t="shared" si="28"/>
        <v>0.42622950819672129</v>
      </c>
      <c r="K942">
        <f t="shared" si="29"/>
        <v>6479</v>
      </c>
      <c r="L942" t="str">
        <f>VLOOKUP($B942,dim_stores!$A$1:$C$51,2,0)</f>
        <v>Mysuru</v>
      </c>
    </row>
    <row r="943" spans="1:12" x14ac:dyDescent="0.3">
      <c r="A943" t="s">
        <v>952</v>
      </c>
      <c r="B943" t="s">
        <v>107</v>
      </c>
      <c r="C943" t="s">
        <v>15</v>
      </c>
      <c r="D943" t="s">
        <v>11</v>
      </c>
      <c r="E943">
        <v>190</v>
      </c>
      <c r="F943" t="s">
        <v>12</v>
      </c>
      <c r="G943">
        <v>36</v>
      </c>
      <c r="H943">
        <v>56</v>
      </c>
      <c r="I943" t="str">
        <f>_xlfn.XLOOKUP($C943,dim_campaigns!$D$2:$D$3,dim_campaigns!$A$2:$A$3,"",0)</f>
        <v>Diwali</v>
      </c>
      <c r="J943" s="6">
        <f t="shared" si="28"/>
        <v>0.55555555555555558</v>
      </c>
      <c r="K943">
        <f t="shared" si="29"/>
        <v>12160</v>
      </c>
      <c r="L943" t="str">
        <f>VLOOKUP($B943,dim_stores!$A$1:$C$51,2,0)</f>
        <v>Coimbatore</v>
      </c>
    </row>
    <row r="944" spans="1:12" x14ac:dyDescent="0.3">
      <c r="A944" t="s">
        <v>953</v>
      </c>
      <c r="B944" t="s">
        <v>31</v>
      </c>
      <c r="C944" t="s">
        <v>10</v>
      </c>
      <c r="D944" t="s">
        <v>68</v>
      </c>
      <c r="E944">
        <v>1020</v>
      </c>
      <c r="F944" t="s">
        <v>21</v>
      </c>
      <c r="G944">
        <v>64</v>
      </c>
      <c r="H944">
        <v>250</v>
      </c>
      <c r="I944" t="str">
        <f>_xlfn.XLOOKUP($C944,dim_campaigns!$D$2:$D$3,dim_campaigns!$A$2:$A$3,"",0)</f>
        <v>Sankranti</v>
      </c>
      <c r="J944" s="6">
        <f t="shared" si="28"/>
        <v>2.90625</v>
      </c>
      <c r="K944">
        <f t="shared" si="29"/>
        <v>192780</v>
      </c>
      <c r="L944" t="str">
        <f>VLOOKUP($B944,dim_stores!$A$1:$C$51,2,0)</f>
        <v>Visakhapatnam</v>
      </c>
    </row>
    <row r="945" spans="1:12" x14ac:dyDescent="0.3">
      <c r="A945" t="s">
        <v>954</v>
      </c>
      <c r="B945" t="s">
        <v>14</v>
      </c>
      <c r="C945" t="s">
        <v>15</v>
      </c>
      <c r="D945" t="s">
        <v>51</v>
      </c>
      <c r="E945">
        <v>290</v>
      </c>
      <c r="F945" t="s">
        <v>17</v>
      </c>
      <c r="G945">
        <v>323</v>
      </c>
      <c r="H945">
        <v>251</v>
      </c>
      <c r="I945" t="str">
        <f>_xlfn.XLOOKUP($C945,dim_campaigns!$D$2:$D$3,dim_campaigns!$A$2:$A$3,"",0)</f>
        <v>Diwali</v>
      </c>
      <c r="J945" s="6">
        <f t="shared" si="28"/>
        <v>-0.22291021671826625</v>
      </c>
      <c r="K945">
        <f t="shared" si="29"/>
        <v>148262.5</v>
      </c>
      <c r="L945" t="str">
        <f>VLOOKUP($B945,dim_stores!$A$1:$C$51,2,0)</f>
        <v>Bengaluru</v>
      </c>
    </row>
    <row r="946" spans="1:12" x14ac:dyDescent="0.3">
      <c r="A946" t="s">
        <v>955</v>
      </c>
      <c r="B946" t="s">
        <v>42</v>
      </c>
      <c r="C946" t="s">
        <v>10</v>
      </c>
      <c r="D946" t="s">
        <v>24</v>
      </c>
      <c r="E946">
        <v>3000</v>
      </c>
      <c r="F946" t="s">
        <v>25</v>
      </c>
      <c r="G946">
        <v>118</v>
      </c>
      <c r="H946">
        <v>208</v>
      </c>
      <c r="I946" t="str">
        <f>_xlfn.XLOOKUP($C946,dim_campaigns!$D$2:$D$3,dim_campaigns!$A$2:$A$3,"",0)</f>
        <v>Sankranti</v>
      </c>
      <c r="J946" s="6">
        <f t="shared" si="28"/>
        <v>0.76271186440677963</v>
      </c>
      <c r="K946">
        <f t="shared" si="29"/>
        <v>874000</v>
      </c>
      <c r="L946" t="str">
        <f>VLOOKUP($B946,dim_stores!$A$1:$C$51,2,0)</f>
        <v>Mysuru</v>
      </c>
    </row>
    <row r="947" spans="1:12" x14ac:dyDescent="0.3">
      <c r="A947" t="s">
        <v>956</v>
      </c>
      <c r="B947" t="s">
        <v>139</v>
      </c>
      <c r="C947" t="s">
        <v>15</v>
      </c>
      <c r="D947" t="s">
        <v>51</v>
      </c>
      <c r="E947">
        <v>290</v>
      </c>
      <c r="F947" t="s">
        <v>17</v>
      </c>
      <c r="G947">
        <v>236</v>
      </c>
      <c r="H947">
        <v>210</v>
      </c>
      <c r="I947" t="str">
        <f>_xlfn.XLOOKUP($C947,dim_campaigns!$D$2:$D$3,dim_campaigns!$A$2:$A$3,"",0)</f>
        <v>Diwali</v>
      </c>
      <c r="J947" s="6">
        <f t="shared" si="28"/>
        <v>-0.11016949152542373</v>
      </c>
      <c r="K947">
        <f t="shared" si="29"/>
        <v>114115</v>
      </c>
      <c r="L947" t="str">
        <f>VLOOKUP($B947,dim_stores!$A$1:$C$51,2,0)</f>
        <v>Visakhapatnam</v>
      </c>
    </row>
    <row r="948" spans="1:12" x14ac:dyDescent="0.3">
      <c r="A948" t="s">
        <v>957</v>
      </c>
      <c r="B948" t="s">
        <v>70</v>
      </c>
      <c r="C948" t="s">
        <v>15</v>
      </c>
      <c r="D948" t="s">
        <v>48</v>
      </c>
      <c r="E948">
        <v>62</v>
      </c>
      <c r="F948" t="s">
        <v>12</v>
      </c>
      <c r="G948">
        <v>126</v>
      </c>
      <c r="H948">
        <v>168</v>
      </c>
      <c r="I948" t="str">
        <f>_xlfn.XLOOKUP($C948,dim_campaigns!$D$2:$D$3,dim_campaigns!$A$2:$A$3,"",0)</f>
        <v>Diwali</v>
      </c>
      <c r="J948" s="6">
        <f t="shared" si="28"/>
        <v>0.33333333333333331</v>
      </c>
      <c r="K948">
        <f t="shared" si="29"/>
        <v>13020</v>
      </c>
      <c r="L948" t="str">
        <f>VLOOKUP($B948,dim_stores!$A$1:$C$51,2,0)</f>
        <v>Chennai</v>
      </c>
    </row>
    <row r="949" spans="1:12" x14ac:dyDescent="0.3">
      <c r="A949" t="s">
        <v>958</v>
      </c>
      <c r="B949" t="s">
        <v>9</v>
      </c>
      <c r="C949" t="s">
        <v>15</v>
      </c>
      <c r="D949" t="s">
        <v>20</v>
      </c>
      <c r="E949">
        <v>300</v>
      </c>
      <c r="F949" t="s">
        <v>21</v>
      </c>
      <c r="G949">
        <v>42</v>
      </c>
      <c r="H949">
        <v>166</v>
      </c>
      <c r="I949" t="str">
        <f>_xlfn.XLOOKUP($C949,dim_campaigns!$D$2:$D$3,dim_campaigns!$A$2:$A$3,"",0)</f>
        <v>Diwali</v>
      </c>
      <c r="J949" s="6">
        <f t="shared" si="28"/>
        <v>2.9523809523809526</v>
      </c>
      <c r="K949">
        <f t="shared" si="29"/>
        <v>37500</v>
      </c>
      <c r="L949" t="str">
        <f>VLOOKUP($B949,dim_stores!$A$1:$C$51,2,0)</f>
        <v>Coimbatore</v>
      </c>
    </row>
    <row r="950" spans="1:12" x14ac:dyDescent="0.3">
      <c r="A950" t="s">
        <v>959</v>
      </c>
      <c r="B950" t="s">
        <v>110</v>
      </c>
      <c r="C950" t="s">
        <v>15</v>
      </c>
      <c r="D950" t="s">
        <v>16</v>
      </c>
      <c r="E950">
        <v>156</v>
      </c>
      <c r="F950" t="s">
        <v>17</v>
      </c>
      <c r="G950">
        <v>323</v>
      </c>
      <c r="H950">
        <v>293</v>
      </c>
      <c r="I950" t="str">
        <f>_xlfn.XLOOKUP($C950,dim_campaigns!$D$2:$D$3,dim_campaigns!$A$2:$A$3,"",0)</f>
        <v>Diwali</v>
      </c>
      <c r="J950" s="6">
        <f t="shared" si="28"/>
        <v>-9.2879256965944276E-2</v>
      </c>
      <c r="K950">
        <f t="shared" si="29"/>
        <v>84669</v>
      </c>
      <c r="L950" t="str">
        <f>VLOOKUP($B950,dim_stores!$A$1:$C$51,2,0)</f>
        <v>Chennai</v>
      </c>
    </row>
    <row r="951" spans="1:12" x14ac:dyDescent="0.3">
      <c r="A951" t="s">
        <v>960</v>
      </c>
      <c r="B951" t="s">
        <v>19</v>
      </c>
      <c r="C951" t="s">
        <v>15</v>
      </c>
      <c r="D951" t="s">
        <v>11</v>
      </c>
      <c r="E951">
        <v>190</v>
      </c>
      <c r="F951" t="s">
        <v>12</v>
      </c>
      <c r="G951">
        <v>42</v>
      </c>
      <c r="H951">
        <v>55</v>
      </c>
      <c r="I951" t="str">
        <f>_xlfn.XLOOKUP($C951,dim_campaigns!$D$2:$D$3,dim_campaigns!$A$2:$A$3,"",0)</f>
        <v>Diwali</v>
      </c>
      <c r="J951" s="6">
        <f t="shared" si="28"/>
        <v>0.30952380952380953</v>
      </c>
      <c r="K951">
        <f t="shared" si="29"/>
        <v>13205</v>
      </c>
      <c r="L951" t="str">
        <f>VLOOKUP($B951,dim_stores!$A$1:$C$51,2,0)</f>
        <v>Vijayawada</v>
      </c>
    </row>
    <row r="952" spans="1:12" x14ac:dyDescent="0.3">
      <c r="A952" t="s">
        <v>961</v>
      </c>
      <c r="B952" t="s">
        <v>110</v>
      </c>
      <c r="C952" t="s">
        <v>10</v>
      </c>
      <c r="D952" t="s">
        <v>35</v>
      </c>
      <c r="E952">
        <v>350</v>
      </c>
      <c r="F952" t="s">
        <v>21</v>
      </c>
      <c r="G952">
        <v>117</v>
      </c>
      <c r="H952">
        <v>457</v>
      </c>
      <c r="I952" t="str">
        <f>_xlfn.XLOOKUP($C952,dim_campaigns!$D$2:$D$3,dim_campaigns!$A$2:$A$3,"",0)</f>
        <v>Sankranti</v>
      </c>
      <c r="J952" s="6">
        <f t="shared" si="28"/>
        <v>2.9059829059829059</v>
      </c>
      <c r="K952">
        <f t="shared" si="29"/>
        <v>120925</v>
      </c>
      <c r="L952" t="str">
        <f>VLOOKUP($B952,dim_stores!$A$1:$C$51,2,0)</f>
        <v>Chennai</v>
      </c>
    </row>
    <row r="953" spans="1:12" x14ac:dyDescent="0.3">
      <c r="A953" t="s">
        <v>962</v>
      </c>
      <c r="B953" t="s">
        <v>161</v>
      </c>
      <c r="C953" t="s">
        <v>15</v>
      </c>
      <c r="D953" t="s">
        <v>68</v>
      </c>
      <c r="E953">
        <v>1020</v>
      </c>
      <c r="F953" t="s">
        <v>21</v>
      </c>
      <c r="G953">
        <v>50</v>
      </c>
      <c r="H953">
        <v>202</v>
      </c>
      <c r="I953" t="str">
        <f>_xlfn.XLOOKUP($C953,dim_campaigns!$D$2:$D$3,dim_campaigns!$A$2:$A$3,"",0)</f>
        <v>Diwali</v>
      </c>
      <c r="J953" s="6">
        <f t="shared" si="28"/>
        <v>3.04</v>
      </c>
      <c r="K953">
        <f t="shared" si="29"/>
        <v>154020</v>
      </c>
      <c r="L953" t="str">
        <f>VLOOKUP($B953,dim_stores!$A$1:$C$51,2,0)</f>
        <v>Chennai</v>
      </c>
    </row>
    <row r="954" spans="1:12" x14ac:dyDescent="0.3">
      <c r="A954" t="s">
        <v>963</v>
      </c>
      <c r="B954" t="s">
        <v>139</v>
      </c>
      <c r="C954" t="s">
        <v>15</v>
      </c>
      <c r="D954" t="s">
        <v>85</v>
      </c>
      <c r="E954">
        <v>110</v>
      </c>
      <c r="F954" t="s">
        <v>12</v>
      </c>
      <c r="G954">
        <v>50</v>
      </c>
      <c r="H954">
        <v>58</v>
      </c>
      <c r="I954" t="str">
        <f>_xlfn.XLOOKUP($C954,dim_campaigns!$D$2:$D$3,dim_campaigns!$A$2:$A$3,"",0)</f>
        <v>Diwali</v>
      </c>
      <c r="J954" s="6">
        <f t="shared" si="28"/>
        <v>0.16</v>
      </c>
      <c r="K954">
        <f t="shared" si="29"/>
        <v>8690</v>
      </c>
      <c r="L954" t="str">
        <f>VLOOKUP($B954,dim_stores!$A$1:$C$51,2,0)</f>
        <v>Visakhapatnam</v>
      </c>
    </row>
    <row r="955" spans="1:12" x14ac:dyDescent="0.3">
      <c r="A955" t="s">
        <v>964</v>
      </c>
      <c r="B955" t="s">
        <v>161</v>
      </c>
      <c r="C955" t="s">
        <v>10</v>
      </c>
      <c r="D955" t="s">
        <v>28</v>
      </c>
      <c r="E955">
        <v>55</v>
      </c>
      <c r="F955" t="s">
        <v>17</v>
      </c>
      <c r="G955">
        <v>28</v>
      </c>
      <c r="H955">
        <v>26</v>
      </c>
      <c r="I955" t="str">
        <f>_xlfn.XLOOKUP($C955,dim_campaigns!$D$2:$D$3,dim_campaigns!$A$2:$A$3,"",0)</f>
        <v>Sankranti</v>
      </c>
      <c r="J955" s="6">
        <f t="shared" si="28"/>
        <v>-7.1428571428571425E-2</v>
      </c>
      <c r="K955">
        <f t="shared" si="29"/>
        <v>2612.5</v>
      </c>
      <c r="L955" t="str">
        <f>VLOOKUP($B955,dim_stores!$A$1:$C$51,2,0)</f>
        <v>Chennai</v>
      </c>
    </row>
    <row r="956" spans="1:12" x14ac:dyDescent="0.3">
      <c r="A956" t="s">
        <v>965</v>
      </c>
      <c r="B956" t="s">
        <v>89</v>
      </c>
      <c r="C956" t="s">
        <v>10</v>
      </c>
      <c r="D956" t="s">
        <v>35</v>
      </c>
      <c r="E956">
        <v>350</v>
      </c>
      <c r="F956" t="s">
        <v>21</v>
      </c>
      <c r="G956">
        <v>73</v>
      </c>
      <c r="H956">
        <v>286</v>
      </c>
      <c r="I956" t="str">
        <f>_xlfn.XLOOKUP($C956,dim_campaigns!$D$2:$D$3,dim_campaigns!$A$2:$A$3,"",0)</f>
        <v>Sankranti</v>
      </c>
      <c r="J956" s="6">
        <f t="shared" si="28"/>
        <v>2.9178082191780823</v>
      </c>
      <c r="K956">
        <f t="shared" si="29"/>
        <v>75600</v>
      </c>
      <c r="L956" t="str">
        <f>VLOOKUP($B956,dim_stores!$A$1:$C$51,2,0)</f>
        <v>Vijayawada</v>
      </c>
    </row>
    <row r="957" spans="1:12" x14ac:dyDescent="0.3">
      <c r="A957" t="s">
        <v>966</v>
      </c>
      <c r="B957" t="s">
        <v>14</v>
      </c>
      <c r="C957" t="s">
        <v>15</v>
      </c>
      <c r="D957" t="s">
        <v>68</v>
      </c>
      <c r="E957">
        <v>1020</v>
      </c>
      <c r="F957" t="s">
        <v>21</v>
      </c>
      <c r="G957">
        <v>52</v>
      </c>
      <c r="H957">
        <v>178</v>
      </c>
      <c r="I957" t="str">
        <f>_xlfn.XLOOKUP($C957,dim_campaigns!$D$2:$D$3,dim_campaigns!$A$2:$A$3,"",0)</f>
        <v>Diwali</v>
      </c>
      <c r="J957" s="6">
        <f t="shared" si="28"/>
        <v>2.4230769230769229</v>
      </c>
      <c r="K957">
        <f t="shared" si="29"/>
        <v>143820</v>
      </c>
      <c r="L957" t="str">
        <f>VLOOKUP($B957,dim_stores!$A$1:$C$51,2,0)</f>
        <v>Bengaluru</v>
      </c>
    </row>
    <row r="958" spans="1:12" x14ac:dyDescent="0.3">
      <c r="A958" t="s">
        <v>967</v>
      </c>
      <c r="B958" t="s">
        <v>212</v>
      </c>
      <c r="C958" t="s">
        <v>10</v>
      </c>
      <c r="D958" t="s">
        <v>28</v>
      </c>
      <c r="E958">
        <v>55</v>
      </c>
      <c r="F958" t="s">
        <v>17</v>
      </c>
      <c r="G958">
        <v>24</v>
      </c>
      <c r="H958">
        <v>20</v>
      </c>
      <c r="I958" t="str">
        <f>_xlfn.XLOOKUP($C958,dim_campaigns!$D$2:$D$3,dim_campaigns!$A$2:$A$3,"",0)</f>
        <v>Sankranti</v>
      </c>
      <c r="J958" s="6">
        <f t="shared" si="28"/>
        <v>-0.16666666666666666</v>
      </c>
      <c r="K958">
        <f t="shared" si="29"/>
        <v>2145</v>
      </c>
      <c r="L958" t="str">
        <f>VLOOKUP($B958,dim_stores!$A$1:$C$51,2,0)</f>
        <v>Bengaluru</v>
      </c>
    </row>
    <row r="959" spans="1:12" x14ac:dyDescent="0.3">
      <c r="A959" t="s">
        <v>968</v>
      </c>
      <c r="B959" t="s">
        <v>190</v>
      </c>
      <c r="C959" t="s">
        <v>15</v>
      </c>
      <c r="D959" t="s">
        <v>53</v>
      </c>
      <c r="E959">
        <v>860</v>
      </c>
      <c r="F959" t="s">
        <v>54</v>
      </c>
      <c r="G959">
        <v>301</v>
      </c>
      <c r="H959">
        <v>526</v>
      </c>
      <c r="I959" t="str">
        <f>_xlfn.XLOOKUP($C959,dim_campaigns!$D$2:$D$3,dim_campaigns!$A$2:$A$3,"",0)</f>
        <v>Diwali</v>
      </c>
      <c r="J959" s="6">
        <f t="shared" si="28"/>
        <v>0.74750830564784054</v>
      </c>
      <c r="K959">
        <f t="shared" si="29"/>
        <v>561941.19999999995</v>
      </c>
      <c r="L959" t="str">
        <f>VLOOKUP($B959,dim_stores!$A$1:$C$51,2,0)</f>
        <v>Visakhapatnam</v>
      </c>
    </row>
    <row r="960" spans="1:12" x14ac:dyDescent="0.3">
      <c r="A960" t="s">
        <v>969</v>
      </c>
      <c r="B960" t="s">
        <v>45</v>
      </c>
      <c r="C960" t="s">
        <v>10</v>
      </c>
      <c r="D960" t="s">
        <v>68</v>
      </c>
      <c r="E960">
        <v>1020</v>
      </c>
      <c r="F960" t="s">
        <v>21</v>
      </c>
      <c r="G960">
        <v>100</v>
      </c>
      <c r="H960">
        <v>396</v>
      </c>
      <c r="I960" t="str">
        <f>_xlfn.XLOOKUP($C960,dim_campaigns!$D$2:$D$3,dim_campaigns!$A$2:$A$3,"",0)</f>
        <v>Sankranti</v>
      </c>
      <c r="J960" s="6">
        <f t="shared" si="28"/>
        <v>2.96</v>
      </c>
      <c r="K960">
        <f t="shared" si="29"/>
        <v>303960</v>
      </c>
      <c r="L960" t="str">
        <f>VLOOKUP($B960,dim_stores!$A$1:$C$51,2,0)</f>
        <v>Hyderabad</v>
      </c>
    </row>
    <row r="961" spans="1:12" x14ac:dyDescent="0.3">
      <c r="A961" t="s">
        <v>970</v>
      </c>
      <c r="B961" t="s">
        <v>96</v>
      </c>
      <c r="C961" t="s">
        <v>15</v>
      </c>
      <c r="D961" t="s">
        <v>28</v>
      </c>
      <c r="E961">
        <v>55</v>
      </c>
      <c r="F961" t="s">
        <v>17</v>
      </c>
      <c r="G961">
        <v>94</v>
      </c>
      <c r="H961">
        <v>84</v>
      </c>
      <c r="I961" t="str">
        <f>_xlfn.XLOOKUP($C961,dim_campaigns!$D$2:$D$3,dim_campaigns!$A$2:$A$3,"",0)</f>
        <v>Diwali</v>
      </c>
      <c r="J961" s="6">
        <f t="shared" si="28"/>
        <v>-0.10638297872340426</v>
      </c>
      <c r="K961">
        <f t="shared" si="29"/>
        <v>8635</v>
      </c>
      <c r="L961" t="str">
        <f>VLOOKUP($B961,dim_stores!$A$1:$C$51,2,0)</f>
        <v>Mysuru</v>
      </c>
    </row>
    <row r="962" spans="1:12" x14ac:dyDescent="0.3">
      <c r="A962" t="s">
        <v>971</v>
      </c>
      <c r="B962" t="s">
        <v>67</v>
      </c>
      <c r="C962" t="s">
        <v>10</v>
      </c>
      <c r="D962" t="s">
        <v>38</v>
      </c>
      <c r="E962">
        <v>1190</v>
      </c>
      <c r="F962" t="s">
        <v>21</v>
      </c>
      <c r="G962">
        <v>37</v>
      </c>
      <c r="H962">
        <v>156</v>
      </c>
      <c r="I962" t="str">
        <f>_xlfn.XLOOKUP($C962,dim_campaigns!$D$2:$D$3,dim_campaigns!$A$2:$A$3,"",0)</f>
        <v>Sankranti</v>
      </c>
      <c r="J962" s="6">
        <f t="shared" si="28"/>
        <v>3.2162162162162162</v>
      </c>
      <c r="K962">
        <f t="shared" si="29"/>
        <v>136850</v>
      </c>
      <c r="L962" t="str">
        <f>VLOOKUP($B962,dim_stores!$A$1:$C$51,2,0)</f>
        <v>Bengaluru</v>
      </c>
    </row>
    <row r="963" spans="1:12" x14ac:dyDescent="0.3">
      <c r="A963" t="s">
        <v>972</v>
      </c>
      <c r="B963" t="s">
        <v>93</v>
      </c>
      <c r="C963" t="s">
        <v>10</v>
      </c>
      <c r="D963" t="s">
        <v>43</v>
      </c>
      <c r="E963">
        <v>415</v>
      </c>
      <c r="F963" t="s">
        <v>17</v>
      </c>
      <c r="G963">
        <v>34</v>
      </c>
      <c r="H963">
        <v>27</v>
      </c>
      <c r="I963" t="str">
        <f>_xlfn.XLOOKUP($C963,dim_campaigns!$D$2:$D$3,dim_campaigns!$A$2:$A$3,"",0)</f>
        <v>Sankranti</v>
      </c>
      <c r="J963" s="6">
        <f t="shared" ref="J963:J1026" si="30">IFERROR((H963-G963)/G963,0)</f>
        <v>-0.20588235294117646</v>
      </c>
      <c r="K963">
        <f t="shared" ref="K963:K1026" si="31">E963*G963+(E963-IF(F963="500 Cashback",500,IF(F963="BOGOF",E963*50%,IF(F963="25% OFF",E963*25%,IF(F963="33% OFF",E963*33%,IF(F963="50% OFF",E963*50%,0))))))*H963</f>
        <v>22513.75</v>
      </c>
      <c r="L963" t="str">
        <f>VLOOKUP($B963,dim_stores!$A$1:$C$51,2,0)</f>
        <v>Bengaluru</v>
      </c>
    </row>
    <row r="964" spans="1:12" x14ac:dyDescent="0.3">
      <c r="A964" t="s">
        <v>973</v>
      </c>
      <c r="B964" t="s">
        <v>95</v>
      </c>
      <c r="C964" t="s">
        <v>15</v>
      </c>
      <c r="D964" t="s">
        <v>61</v>
      </c>
      <c r="E964">
        <v>172</v>
      </c>
      <c r="F964" t="s">
        <v>54</v>
      </c>
      <c r="G964">
        <v>281</v>
      </c>
      <c r="H964">
        <v>435</v>
      </c>
      <c r="I964" t="str">
        <f>_xlfn.XLOOKUP($C964,dim_campaigns!$D$2:$D$3,dim_campaigns!$A$2:$A$3,"",0)</f>
        <v>Diwali</v>
      </c>
      <c r="J964" s="6">
        <f t="shared" si="30"/>
        <v>0.54804270462633453</v>
      </c>
      <c r="K964">
        <f t="shared" si="31"/>
        <v>98461.4</v>
      </c>
      <c r="L964" t="str">
        <f>VLOOKUP($B964,dim_stores!$A$1:$C$51,2,0)</f>
        <v>Hyderabad</v>
      </c>
    </row>
    <row r="965" spans="1:12" x14ac:dyDescent="0.3">
      <c r="A965" t="s">
        <v>974</v>
      </c>
      <c r="B965" t="s">
        <v>207</v>
      </c>
      <c r="C965" t="s">
        <v>15</v>
      </c>
      <c r="D965" t="s">
        <v>61</v>
      </c>
      <c r="E965">
        <v>172</v>
      </c>
      <c r="F965" t="s">
        <v>54</v>
      </c>
      <c r="G965">
        <v>316</v>
      </c>
      <c r="H965">
        <v>521</v>
      </c>
      <c r="I965" t="str">
        <f>_xlfn.XLOOKUP($C965,dim_campaigns!$D$2:$D$3,dim_campaigns!$A$2:$A$3,"",0)</f>
        <v>Diwali</v>
      </c>
      <c r="J965" s="6">
        <f t="shared" si="30"/>
        <v>0.64873417721518989</v>
      </c>
      <c r="K965">
        <f t="shared" si="31"/>
        <v>114392.04000000001</v>
      </c>
      <c r="L965" t="str">
        <f>VLOOKUP($B965,dim_stores!$A$1:$C$51,2,0)</f>
        <v>Hyderabad</v>
      </c>
    </row>
    <row r="966" spans="1:12" x14ac:dyDescent="0.3">
      <c r="A966" t="s">
        <v>975</v>
      </c>
      <c r="B966" t="s">
        <v>193</v>
      </c>
      <c r="C966" t="s">
        <v>15</v>
      </c>
      <c r="D966" t="s">
        <v>16</v>
      </c>
      <c r="E966">
        <v>156</v>
      </c>
      <c r="F966" t="s">
        <v>17</v>
      </c>
      <c r="G966">
        <v>378</v>
      </c>
      <c r="H966">
        <v>343</v>
      </c>
      <c r="I966" t="str">
        <f>_xlfn.XLOOKUP($C966,dim_campaigns!$D$2:$D$3,dim_campaigns!$A$2:$A$3,"",0)</f>
        <v>Diwali</v>
      </c>
      <c r="J966" s="6">
        <f t="shared" si="30"/>
        <v>-9.2592592592592587E-2</v>
      </c>
      <c r="K966">
        <f t="shared" si="31"/>
        <v>99099</v>
      </c>
      <c r="L966" t="str">
        <f>VLOOKUP($B966,dim_stores!$A$1:$C$51,2,0)</f>
        <v>Bengaluru</v>
      </c>
    </row>
    <row r="967" spans="1:12" x14ac:dyDescent="0.3">
      <c r="A967" t="s">
        <v>976</v>
      </c>
      <c r="B967" t="s">
        <v>50</v>
      </c>
      <c r="C967" t="s">
        <v>15</v>
      </c>
      <c r="D967" t="s">
        <v>53</v>
      </c>
      <c r="E967">
        <v>860</v>
      </c>
      <c r="F967" t="s">
        <v>54</v>
      </c>
      <c r="G967">
        <v>381</v>
      </c>
      <c r="H967">
        <v>563</v>
      </c>
      <c r="I967" t="str">
        <f>_xlfn.XLOOKUP($C967,dim_campaigns!$D$2:$D$3,dim_campaigns!$A$2:$A$3,"",0)</f>
        <v>Diwali</v>
      </c>
      <c r="J967" s="6">
        <f t="shared" si="30"/>
        <v>0.47769028871391078</v>
      </c>
      <c r="K967">
        <f t="shared" si="31"/>
        <v>652060.60000000009</v>
      </c>
      <c r="L967" t="str">
        <f>VLOOKUP($B967,dim_stores!$A$1:$C$51,2,0)</f>
        <v>Bengaluru</v>
      </c>
    </row>
    <row r="968" spans="1:12" x14ac:dyDescent="0.3">
      <c r="A968" t="s">
        <v>977</v>
      </c>
      <c r="B968" t="s">
        <v>70</v>
      </c>
      <c r="C968" t="s">
        <v>10</v>
      </c>
      <c r="D968" t="s">
        <v>43</v>
      </c>
      <c r="E968">
        <v>415</v>
      </c>
      <c r="F968" t="s">
        <v>17</v>
      </c>
      <c r="G968">
        <v>27</v>
      </c>
      <c r="H968">
        <v>22</v>
      </c>
      <c r="I968" t="str">
        <f>_xlfn.XLOOKUP($C968,dim_campaigns!$D$2:$D$3,dim_campaigns!$A$2:$A$3,"",0)</f>
        <v>Sankranti</v>
      </c>
      <c r="J968" s="6">
        <f t="shared" si="30"/>
        <v>-0.18518518518518517</v>
      </c>
      <c r="K968">
        <f t="shared" si="31"/>
        <v>18052.5</v>
      </c>
      <c r="L968" t="str">
        <f>VLOOKUP($B968,dim_stores!$A$1:$C$51,2,0)</f>
        <v>Chennai</v>
      </c>
    </row>
    <row r="969" spans="1:12" x14ac:dyDescent="0.3">
      <c r="A969" t="s">
        <v>978</v>
      </c>
      <c r="B969" t="s">
        <v>93</v>
      </c>
      <c r="C969" t="s">
        <v>10</v>
      </c>
      <c r="D969" t="s">
        <v>28</v>
      </c>
      <c r="E969">
        <v>55</v>
      </c>
      <c r="F969" t="s">
        <v>17</v>
      </c>
      <c r="G969">
        <v>25</v>
      </c>
      <c r="H969">
        <v>21</v>
      </c>
      <c r="I969" t="str">
        <f>_xlfn.XLOOKUP($C969,dim_campaigns!$D$2:$D$3,dim_campaigns!$A$2:$A$3,"",0)</f>
        <v>Sankranti</v>
      </c>
      <c r="J969" s="6">
        <f t="shared" si="30"/>
        <v>-0.16</v>
      </c>
      <c r="K969">
        <f t="shared" si="31"/>
        <v>2241.25</v>
      </c>
      <c r="L969" t="str">
        <f>VLOOKUP($B969,dim_stores!$A$1:$C$51,2,0)</f>
        <v>Bengaluru</v>
      </c>
    </row>
    <row r="970" spans="1:12" x14ac:dyDescent="0.3">
      <c r="A970" t="s">
        <v>979</v>
      </c>
      <c r="B970" t="s">
        <v>75</v>
      </c>
      <c r="C970" t="s">
        <v>15</v>
      </c>
      <c r="D970" t="s">
        <v>48</v>
      </c>
      <c r="E970">
        <v>62</v>
      </c>
      <c r="F970" t="s">
        <v>12</v>
      </c>
      <c r="G970">
        <v>87</v>
      </c>
      <c r="H970">
        <v>93</v>
      </c>
      <c r="I970" t="str">
        <f>_xlfn.XLOOKUP($C970,dim_campaigns!$D$2:$D$3,dim_campaigns!$A$2:$A$3,"",0)</f>
        <v>Diwali</v>
      </c>
      <c r="J970" s="6">
        <f t="shared" si="30"/>
        <v>6.8965517241379309E-2</v>
      </c>
      <c r="K970">
        <f t="shared" si="31"/>
        <v>8277</v>
      </c>
      <c r="L970" t="str">
        <f>VLOOKUP($B970,dim_stores!$A$1:$C$51,2,0)</f>
        <v>Madurai</v>
      </c>
    </row>
    <row r="971" spans="1:12" x14ac:dyDescent="0.3">
      <c r="A971" t="s">
        <v>980</v>
      </c>
      <c r="B971" t="s">
        <v>110</v>
      </c>
      <c r="C971" t="s">
        <v>10</v>
      </c>
      <c r="D971" t="s">
        <v>43</v>
      </c>
      <c r="E971">
        <v>415</v>
      </c>
      <c r="F971" t="s">
        <v>17</v>
      </c>
      <c r="G971">
        <v>31</v>
      </c>
      <c r="H971">
        <v>26</v>
      </c>
      <c r="I971" t="str">
        <f>_xlfn.XLOOKUP($C971,dim_campaigns!$D$2:$D$3,dim_campaigns!$A$2:$A$3,"",0)</f>
        <v>Sankranti</v>
      </c>
      <c r="J971" s="6">
        <f t="shared" si="30"/>
        <v>-0.16129032258064516</v>
      </c>
      <c r="K971">
        <f t="shared" si="31"/>
        <v>20957.5</v>
      </c>
      <c r="L971" t="str">
        <f>VLOOKUP($B971,dim_stores!$A$1:$C$51,2,0)</f>
        <v>Chennai</v>
      </c>
    </row>
    <row r="972" spans="1:12" x14ac:dyDescent="0.3">
      <c r="A972" t="s">
        <v>981</v>
      </c>
      <c r="B972" t="s">
        <v>56</v>
      </c>
      <c r="C972" t="s">
        <v>10</v>
      </c>
      <c r="D972" t="s">
        <v>48</v>
      </c>
      <c r="E972">
        <v>62</v>
      </c>
      <c r="F972" t="s">
        <v>12</v>
      </c>
      <c r="G972">
        <v>67</v>
      </c>
      <c r="H972">
        <v>74</v>
      </c>
      <c r="I972" t="str">
        <f>_xlfn.XLOOKUP($C972,dim_campaigns!$D$2:$D$3,dim_campaigns!$A$2:$A$3,"",0)</f>
        <v>Sankranti</v>
      </c>
      <c r="J972" s="6">
        <f t="shared" si="30"/>
        <v>0.1044776119402985</v>
      </c>
      <c r="K972">
        <f t="shared" si="31"/>
        <v>6448</v>
      </c>
      <c r="L972" t="str">
        <f>VLOOKUP($B972,dim_stores!$A$1:$C$51,2,0)</f>
        <v>Chennai</v>
      </c>
    </row>
    <row r="973" spans="1:12" x14ac:dyDescent="0.3">
      <c r="A973" t="s">
        <v>982</v>
      </c>
      <c r="B973" t="s">
        <v>63</v>
      </c>
      <c r="C973" t="s">
        <v>15</v>
      </c>
      <c r="D973" t="s">
        <v>11</v>
      </c>
      <c r="E973">
        <v>190</v>
      </c>
      <c r="F973" t="s">
        <v>12</v>
      </c>
      <c r="G973">
        <v>43</v>
      </c>
      <c r="H973">
        <v>58</v>
      </c>
      <c r="I973" t="str">
        <f>_xlfn.XLOOKUP($C973,dim_campaigns!$D$2:$D$3,dim_campaigns!$A$2:$A$3,"",0)</f>
        <v>Diwali</v>
      </c>
      <c r="J973" s="6">
        <f t="shared" si="30"/>
        <v>0.34883720930232559</v>
      </c>
      <c r="K973">
        <f t="shared" si="31"/>
        <v>13680</v>
      </c>
      <c r="L973" t="str">
        <f>VLOOKUP($B973,dim_stores!$A$1:$C$51,2,0)</f>
        <v>Visakhapatnam</v>
      </c>
    </row>
    <row r="974" spans="1:12" x14ac:dyDescent="0.3">
      <c r="A974" t="s">
        <v>983</v>
      </c>
      <c r="B974" t="s">
        <v>93</v>
      </c>
      <c r="C974" t="s">
        <v>15</v>
      </c>
      <c r="D974" t="s">
        <v>48</v>
      </c>
      <c r="E974">
        <v>62</v>
      </c>
      <c r="F974" t="s">
        <v>12</v>
      </c>
      <c r="G974">
        <v>141</v>
      </c>
      <c r="H974">
        <v>179</v>
      </c>
      <c r="I974" t="str">
        <f>_xlfn.XLOOKUP($C974,dim_campaigns!$D$2:$D$3,dim_campaigns!$A$2:$A$3,"",0)</f>
        <v>Diwali</v>
      </c>
      <c r="J974" s="6">
        <f t="shared" si="30"/>
        <v>0.26950354609929078</v>
      </c>
      <c r="K974">
        <f t="shared" si="31"/>
        <v>14291</v>
      </c>
      <c r="L974" t="str">
        <f>VLOOKUP($B974,dim_stores!$A$1:$C$51,2,0)</f>
        <v>Bengaluru</v>
      </c>
    </row>
    <row r="975" spans="1:12" x14ac:dyDescent="0.3">
      <c r="A975" t="s">
        <v>984</v>
      </c>
      <c r="B975" t="s">
        <v>96</v>
      </c>
      <c r="C975" t="s">
        <v>15</v>
      </c>
      <c r="D975" t="s">
        <v>53</v>
      </c>
      <c r="E975">
        <v>860</v>
      </c>
      <c r="F975" t="s">
        <v>54</v>
      </c>
      <c r="G975">
        <v>322</v>
      </c>
      <c r="H975">
        <v>386</v>
      </c>
      <c r="I975" t="str">
        <f>_xlfn.XLOOKUP($C975,dim_campaigns!$D$2:$D$3,dim_campaigns!$A$2:$A$3,"",0)</f>
        <v>Diwali</v>
      </c>
      <c r="J975" s="6">
        <f t="shared" si="30"/>
        <v>0.19875776397515527</v>
      </c>
      <c r="K975">
        <f t="shared" si="31"/>
        <v>499333.2</v>
      </c>
      <c r="L975" t="str">
        <f>VLOOKUP($B975,dim_stores!$A$1:$C$51,2,0)</f>
        <v>Mysuru</v>
      </c>
    </row>
    <row r="976" spans="1:12" x14ac:dyDescent="0.3">
      <c r="A976" t="s">
        <v>985</v>
      </c>
      <c r="B976" t="s">
        <v>56</v>
      </c>
      <c r="C976" t="s">
        <v>15</v>
      </c>
      <c r="D976" t="s">
        <v>85</v>
      </c>
      <c r="E976">
        <v>110</v>
      </c>
      <c r="F976" t="s">
        <v>12</v>
      </c>
      <c r="G976">
        <v>85</v>
      </c>
      <c r="H976">
        <v>90</v>
      </c>
      <c r="I976" t="str">
        <f>_xlfn.XLOOKUP($C976,dim_campaigns!$D$2:$D$3,dim_campaigns!$A$2:$A$3,"",0)</f>
        <v>Diwali</v>
      </c>
      <c r="J976" s="6">
        <f t="shared" si="30"/>
        <v>5.8823529411764705E-2</v>
      </c>
      <c r="K976">
        <f t="shared" si="31"/>
        <v>14300</v>
      </c>
      <c r="L976" t="str">
        <f>VLOOKUP($B976,dim_stores!$A$1:$C$51,2,0)</f>
        <v>Chennai</v>
      </c>
    </row>
    <row r="977" spans="1:12" x14ac:dyDescent="0.3">
      <c r="A977" t="s">
        <v>986</v>
      </c>
      <c r="B977" t="s">
        <v>52</v>
      </c>
      <c r="C977" t="s">
        <v>10</v>
      </c>
      <c r="D977" t="s">
        <v>43</v>
      </c>
      <c r="E977">
        <v>415</v>
      </c>
      <c r="F977" t="s">
        <v>17</v>
      </c>
      <c r="G977">
        <v>22</v>
      </c>
      <c r="H977">
        <v>15</v>
      </c>
      <c r="I977" t="str">
        <f>_xlfn.XLOOKUP($C977,dim_campaigns!$D$2:$D$3,dim_campaigns!$A$2:$A$3,"",0)</f>
        <v>Sankranti</v>
      </c>
      <c r="J977" s="6">
        <f t="shared" si="30"/>
        <v>-0.31818181818181818</v>
      </c>
      <c r="K977">
        <f t="shared" si="31"/>
        <v>13798.75</v>
      </c>
      <c r="L977" t="str">
        <f>VLOOKUP($B977,dim_stores!$A$1:$C$51,2,0)</f>
        <v>Visakhapatnam</v>
      </c>
    </row>
    <row r="978" spans="1:12" x14ac:dyDescent="0.3">
      <c r="A978" s="1" t="s">
        <v>987</v>
      </c>
      <c r="B978" t="s">
        <v>81</v>
      </c>
      <c r="C978" t="s">
        <v>15</v>
      </c>
      <c r="D978" t="s">
        <v>35</v>
      </c>
      <c r="E978">
        <v>350</v>
      </c>
      <c r="F978" t="s">
        <v>21</v>
      </c>
      <c r="G978">
        <v>61</v>
      </c>
      <c r="H978">
        <v>237</v>
      </c>
      <c r="I978" t="str">
        <f>_xlfn.XLOOKUP($C978,dim_campaigns!$D$2:$D$3,dim_campaigns!$A$2:$A$3,"",0)</f>
        <v>Diwali</v>
      </c>
      <c r="J978" s="6">
        <f t="shared" si="30"/>
        <v>2.8852459016393444</v>
      </c>
      <c r="K978">
        <f t="shared" si="31"/>
        <v>62825</v>
      </c>
      <c r="L978" t="str">
        <f>VLOOKUP($B978,dim_stores!$A$1:$C$51,2,0)</f>
        <v>Madurai</v>
      </c>
    </row>
    <row r="979" spans="1:12" x14ac:dyDescent="0.3">
      <c r="A979" t="s">
        <v>988</v>
      </c>
      <c r="B979" t="s">
        <v>115</v>
      </c>
      <c r="C979" t="s">
        <v>10</v>
      </c>
      <c r="D979" t="s">
        <v>16</v>
      </c>
      <c r="E979">
        <v>200</v>
      </c>
      <c r="F979" t="s">
        <v>21</v>
      </c>
      <c r="G979">
        <v>309</v>
      </c>
      <c r="H979">
        <v>1226</v>
      </c>
      <c r="I979" t="str">
        <f>_xlfn.XLOOKUP($C979,dim_campaigns!$D$2:$D$3,dim_campaigns!$A$2:$A$3,"",0)</f>
        <v>Sankranti</v>
      </c>
      <c r="J979" s="6">
        <f t="shared" si="30"/>
        <v>2.9676375404530746</v>
      </c>
      <c r="K979">
        <f t="shared" si="31"/>
        <v>184400</v>
      </c>
      <c r="L979" t="str">
        <f>VLOOKUP($B979,dim_stores!$A$1:$C$51,2,0)</f>
        <v>Bengaluru</v>
      </c>
    </row>
    <row r="980" spans="1:12" x14ac:dyDescent="0.3">
      <c r="A980" t="s">
        <v>989</v>
      </c>
      <c r="B980" t="s">
        <v>139</v>
      </c>
      <c r="C980" t="s">
        <v>15</v>
      </c>
      <c r="D980" t="s">
        <v>48</v>
      </c>
      <c r="E980">
        <v>62</v>
      </c>
      <c r="F980" t="s">
        <v>12</v>
      </c>
      <c r="G980">
        <v>105</v>
      </c>
      <c r="H980">
        <v>115</v>
      </c>
      <c r="I980" t="str">
        <f>_xlfn.XLOOKUP($C980,dim_campaigns!$D$2:$D$3,dim_campaigns!$A$2:$A$3,"",0)</f>
        <v>Diwali</v>
      </c>
      <c r="J980" s="6">
        <f t="shared" si="30"/>
        <v>9.5238095238095233E-2</v>
      </c>
      <c r="K980">
        <f t="shared" si="31"/>
        <v>10075</v>
      </c>
      <c r="L980" t="str">
        <f>VLOOKUP($B980,dim_stores!$A$1:$C$51,2,0)</f>
        <v>Visakhapatnam</v>
      </c>
    </row>
    <row r="981" spans="1:12" x14ac:dyDescent="0.3">
      <c r="A981" t="s">
        <v>990</v>
      </c>
      <c r="B981" t="s">
        <v>119</v>
      </c>
      <c r="C981" t="s">
        <v>15</v>
      </c>
      <c r="D981" t="s">
        <v>38</v>
      </c>
      <c r="E981">
        <v>1190</v>
      </c>
      <c r="F981" t="s">
        <v>21</v>
      </c>
      <c r="G981">
        <v>47</v>
      </c>
      <c r="H981">
        <v>186</v>
      </c>
      <c r="I981" t="str">
        <f>_xlfn.XLOOKUP($C981,dim_campaigns!$D$2:$D$3,dim_campaigns!$A$2:$A$3,"",0)</f>
        <v>Diwali</v>
      </c>
      <c r="J981" s="6">
        <f t="shared" si="30"/>
        <v>2.9574468085106385</v>
      </c>
      <c r="K981">
        <f t="shared" si="31"/>
        <v>166600</v>
      </c>
      <c r="L981" t="str">
        <f>VLOOKUP($B981,dim_stores!$A$1:$C$51,2,0)</f>
        <v>Chennai</v>
      </c>
    </row>
    <row r="982" spans="1:12" x14ac:dyDescent="0.3">
      <c r="A982" t="s">
        <v>991</v>
      </c>
      <c r="B982" t="s">
        <v>161</v>
      </c>
      <c r="C982" t="s">
        <v>10</v>
      </c>
      <c r="D982" t="s">
        <v>32</v>
      </c>
      <c r="E982">
        <v>50</v>
      </c>
      <c r="F982" t="s">
        <v>17</v>
      </c>
      <c r="G982">
        <v>30</v>
      </c>
      <c r="H982">
        <v>28</v>
      </c>
      <c r="I982" t="str">
        <f>_xlfn.XLOOKUP($C982,dim_campaigns!$D$2:$D$3,dim_campaigns!$A$2:$A$3,"",0)</f>
        <v>Sankranti</v>
      </c>
      <c r="J982" s="6">
        <f t="shared" si="30"/>
        <v>-6.6666666666666666E-2</v>
      </c>
      <c r="K982">
        <f t="shared" si="31"/>
        <v>2550</v>
      </c>
      <c r="L982" t="str">
        <f>VLOOKUP($B982,dim_stores!$A$1:$C$51,2,0)</f>
        <v>Chennai</v>
      </c>
    </row>
    <row r="983" spans="1:12" x14ac:dyDescent="0.3">
      <c r="A983" t="s">
        <v>992</v>
      </c>
      <c r="B983" t="s">
        <v>9</v>
      </c>
      <c r="C983" t="s">
        <v>10</v>
      </c>
      <c r="D983" t="s">
        <v>20</v>
      </c>
      <c r="E983">
        <v>300</v>
      </c>
      <c r="F983" t="s">
        <v>21</v>
      </c>
      <c r="G983">
        <v>30</v>
      </c>
      <c r="H983">
        <v>123</v>
      </c>
      <c r="I983" t="str">
        <f>_xlfn.XLOOKUP($C983,dim_campaigns!$D$2:$D$3,dim_campaigns!$A$2:$A$3,"",0)</f>
        <v>Sankranti</v>
      </c>
      <c r="J983" s="6">
        <f t="shared" si="30"/>
        <v>3.1</v>
      </c>
      <c r="K983">
        <f t="shared" si="31"/>
        <v>27450</v>
      </c>
      <c r="L983" t="str">
        <f>VLOOKUP($B983,dim_stores!$A$1:$C$51,2,0)</f>
        <v>Coimbatore</v>
      </c>
    </row>
    <row r="984" spans="1:12" x14ac:dyDescent="0.3">
      <c r="A984" t="s">
        <v>993</v>
      </c>
      <c r="B984" t="s">
        <v>142</v>
      </c>
      <c r="C984" t="s">
        <v>15</v>
      </c>
      <c r="D984" t="s">
        <v>35</v>
      </c>
      <c r="E984">
        <v>350</v>
      </c>
      <c r="F984" t="s">
        <v>21</v>
      </c>
      <c r="G984">
        <v>47</v>
      </c>
      <c r="H984">
        <v>163</v>
      </c>
      <c r="I984" t="str">
        <f>_xlfn.XLOOKUP($C984,dim_campaigns!$D$2:$D$3,dim_campaigns!$A$2:$A$3,"",0)</f>
        <v>Diwali</v>
      </c>
      <c r="J984" s="6">
        <f t="shared" si="30"/>
        <v>2.4680851063829787</v>
      </c>
      <c r="K984">
        <f t="shared" si="31"/>
        <v>44975</v>
      </c>
      <c r="L984" t="str">
        <f>VLOOKUP($B984,dim_stores!$A$1:$C$51,2,0)</f>
        <v>Madurai</v>
      </c>
    </row>
    <row r="985" spans="1:12" x14ac:dyDescent="0.3">
      <c r="A985" t="s">
        <v>994</v>
      </c>
      <c r="B985" t="s">
        <v>40</v>
      </c>
      <c r="C985" t="s">
        <v>15</v>
      </c>
      <c r="D985" t="s">
        <v>53</v>
      </c>
      <c r="E985">
        <v>860</v>
      </c>
      <c r="F985" t="s">
        <v>54</v>
      </c>
      <c r="G985">
        <v>301</v>
      </c>
      <c r="H985">
        <v>385</v>
      </c>
      <c r="I985" t="str">
        <f>_xlfn.XLOOKUP($C985,dim_campaigns!$D$2:$D$3,dim_campaigns!$A$2:$A$3,"",0)</f>
        <v>Diwali</v>
      </c>
      <c r="J985" s="6">
        <f t="shared" si="30"/>
        <v>0.27906976744186046</v>
      </c>
      <c r="K985">
        <f t="shared" si="31"/>
        <v>480697</v>
      </c>
      <c r="L985" t="str">
        <f>VLOOKUP($B985,dim_stores!$A$1:$C$51,2,0)</f>
        <v>Madurai</v>
      </c>
    </row>
    <row r="986" spans="1:12" x14ac:dyDescent="0.3">
      <c r="A986" t="s">
        <v>995</v>
      </c>
      <c r="B986" t="s">
        <v>207</v>
      </c>
      <c r="C986" t="s">
        <v>10</v>
      </c>
      <c r="D986" t="s">
        <v>85</v>
      </c>
      <c r="E986">
        <v>90</v>
      </c>
      <c r="F986" t="s">
        <v>17</v>
      </c>
      <c r="G986">
        <v>54</v>
      </c>
      <c r="H986">
        <v>44</v>
      </c>
      <c r="I986" t="str">
        <f>_xlfn.XLOOKUP($C986,dim_campaigns!$D$2:$D$3,dim_campaigns!$A$2:$A$3,"",0)</f>
        <v>Sankranti</v>
      </c>
      <c r="J986" s="6">
        <f t="shared" si="30"/>
        <v>-0.18518518518518517</v>
      </c>
      <c r="K986">
        <f t="shared" si="31"/>
        <v>7830</v>
      </c>
      <c r="L986" t="str">
        <f>VLOOKUP($B986,dim_stores!$A$1:$C$51,2,0)</f>
        <v>Hyderabad</v>
      </c>
    </row>
    <row r="987" spans="1:12" x14ac:dyDescent="0.3">
      <c r="A987" t="s">
        <v>996</v>
      </c>
      <c r="B987" t="s">
        <v>115</v>
      </c>
      <c r="C987" t="s">
        <v>10</v>
      </c>
      <c r="D987" t="s">
        <v>24</v>
      </c>
      <c r="E987">
        <v>3000</v>
      </c>
      <c r="F987" t="s">
        <v>25</v>
      </c>
      <c r="G987">
        <v>118</v>
      </c>
      <c r="H987">
        <v>251</v>
      </c>
      <c r="I987" t="str">
        <f>_xlfn.XLOOKUP($C987,dim_campaigns!$D$2:$D$3,dim_campaigns!$A$2:$A$3,"",0)</f>
        <v>Sankranti</v>
      </c>
      <c r="J987" s="6">
        <f t="shared" si="30"/>
        <v>1.1271186440677967</v>
      </c>
      <c r="K987">
        <f t="shared" si="31"/>
        <v>981500</v>
      </c>
      <c r="L987" t="str">
        <f>VLOOKUP($B987,dim_stores!$A$1:$C$51,2,0)</f>
        <v>Bengaluru</v>
      </c>
    </row>
    <row r="988" spans="1:12" x14ac:dyDescent="0.3">
      <c r="A988" t="s">
        <v>997</v>
      </c>
      <c r="B988" t="s">
        <v>190</v>
      </c>
      <c r="C988" t="s">
        <v>10</v>
      </c>
      <c r="D988" t="s">
        <v>61</v>
      </c>
      <c r="E988">
        <v>172</v>
      </c>
      <c r="F988" t="s">
        <v>54</v>
      </c>
      <c r="G988">
        <v>211</v>
      </c>
      <c r="H988">
        <v>322</v>
      </c>
      <c r="I988" t="str">
        <f>_xlfn.XLOOKUP($C988,dim_campaigns!$D$2:$D$3,dim_campaigns!$A$2:$A$3,"",0)</f>
        <v>Sankranti</v>
      </c>
      <c r="J988" s="6">
        <f t="shared" si="30"/>
        <v>0.52606635071090047</v>
      </c>
      <c r="K988">
        <f t="shared" si="31"/>
        <v>73399.28</v>
      </c>
      <c r="L988" t="str">
        <f>VLOOKUP($B988,dim_stores!$A$1:$C$51,2,0)</f>
        <v>Visakhapatnam</v>
      </c>
    </row>
    <row r="989" spans="1:12" x14ac:dyDescent="0.3">
      <c r="A989" t="s">
        <v>998</v>
      </c>
      <c r="B989" t="s">
        <v>40</v>
      </c>
      <c r="C989" t="s">
        <v>15</v>
      </c>
      <c r="D989" t="s">
        <v>85</v>
      </c>
      <c r="E989">
        <v>110</v>
      </c>
      <c r="F989" t="s">
        <v>12</v>
      </c>
      <c r="G989">
        <v>47</v>
      </c>
      <c r="H989">
        <v>54</v>
      </c>
      <c r="I989" t="str">
        <f>_xlfn.XLOOKUP($C989,dim_campaigns!$D$2:$D$3,dim_campaigns!$A$2:$A$3,"",0)</f>
        <v>Diwali</v>
      </c>
      <c r="J989" s="6">
        <f t="shared" si="30"/>
        <v>0.14893617021276595</v>
      </c>
      <c r="K989">
        <f t="shared" si="31"/>
        <v>8140</v>
      </c>
      <c r="L989" t="str">
        <f>VLOOKUP($B989,dim_stores!$A$1:$C$51,2,0)</f>
        <v>Madurai</v>
      </c>
    </row>
    <row r="990" spans="1:12" x14ac:dyDescent="0.3">
      <c r="A990" t="s">
        <v>999</v>
      </c>
      <c r="B990" t="s">
        <v>126</v>
      </c>
      <c r="C990" t="s">
        <v>10</v>
      </c>
      <c r="D990" t="s">
        <v>24</v>
      </c>
      <c r="E990">
        <v>3000</v>
      </c>
      <c r="F990" t="s">
        <v>25</v>
      </c>
      <c r="G990">
        <v>54</v>
      </c>
      <c r="H990">
        <v>89</v>
      </c>
      <c r="I990" t="str">
        <f>_xlfn.XLOOKUP($C990,dim_campaigns!$D$2:$D$3,dim_campaigns!$A$2:$A$3,"",0)</f>
        <v>Sankranti</v>
      </c>
      <c r="J990" s="6">
        <f t="shared" si="30"/>
        <v>0.64814814814814814</v>
      </c>
      <c r="K990">
        <f t="shared" si="31"/>
        <v>384500</v>
      </c>
      <c r="L990" t="str">
        <f>VLOOKUP($B990,dim_stores!$A$1:$C$51,2,0)</f>
        <v>Mangalore</v>
      </c>
    </row>
    <row r="991" spans="1:12" x14ac:dyDescent="0.3">
      <c r="A991" t="s">
        <v>1000</v>
      </c>
      <c r="B991" t="s">
        <v>115</v>
      </c>
      <c r="C991" t="s">
        <v>10</v>
      </c>
      <c r="D991" t="s">
        <v>43</v>
      </c>
      <c r="E991">
        <v>415</v>
      </c>
      <c r="F991" t="s">
        <v>17</v>
      </c>
      <c r="G991">
        <v>43</v>
      </c>
      <c r="H991">
        <v>40</v>
      </c>
      <c r="I991" t="str">
        <f>_xlfn.XLOOKUP($C991,dim_campaigns!$D$2:$D$3,dim_campaigns!$A$2:$A$3,"",0)</f>
        <v>Sankranti</v>
      </c>
      <c r="J991" s="6">
        <f t="shared" si="30"/>
        <v>-6.9767441860465115E-2</v>
      </c>
      <c r="K991">
        <f t="shared" si="31"/>
        <v>30295</v>
      </c>
      <c r="L991" t="str">
        <f>VLOOKUP($B991,dim_stores!$A$1:$C$51,2,0)</f>
        <v>Bengaluru</v>
      </c>
    </row>
    <row r="992" spans="1:12" x14ac:dyDescent="0.3">
      <c r="A992" t="s">
        <v>1001</v>
      </c>
      <c r="B992" t="s">
        <v>113</v>
      </c>
      <c r="C992" t="s">
        <v>15</v>
      </c>
      <c r="D992" t="s">
        <v>48</v>
      </c>
      <c r="E992">
        <v>62</v>
      </c>
      <c r="F992" t="s">
        <v>12</v>
      </c>
      <c r="G992">
        <v>108</v>
      </c>
      <c r="H992">
        <v>124</v>
      </c>
      <c r="I992" t="str">
        <f>_xlfn.XLOOKUP($C992,dim_campaigns!$D$2:$D$3,dim_campaigns!$A$2:$A$3,"",0)</f>
        <v>Diwali</v>
      </c>
      <c r="J992" s="6">
        <f t="shared" si="30"/>
        <v>0.14814814814814814</v>
      </c>
      <c r="K992">
        <f t="shared" si="31"/>
        <v>10540</v>
      </c>
      <c r="L992" t="str">
        <f>VLOOKUP($B992,dim_stores!$A$1:$C$51,2,0)</f>
        <v>Chennai</v>
      </c>
    </row>
    <row r="993" spans="1:12" x14ac:dyDescent="0.3">
      <c r="A993" t="s">
        <v>1002</v>
      </c>
      <c r="B993" t="s">
        <v>91</v>
      </c>
      <c r="C993" t="s">
        <v>10</v>
      </c>
      <c r="D993" t="s">
        <v>61</v>
      </c>
      <c r="E993">
        <v>172</v>
      </c>
      <c r="F993" t="s">
        <v>54</v>
      </c>
      <c r="G993">
        <v>312</v>
      </c>
      <c r="H993">
        <v>483</v>
      </c>
      <c r="I993" t="str">
        <f>_xlfn.XLOOKUP($C993,dim_campaigns!$D$2:$D$3,dim_campaigns!$A$2:$A$3,"",0)</f>
        <v>Sankranti</v>
      </c>
      <c r="J993" s="6">
        <f t="shared" si="30"/>
        <v>0.54807692307692313</v>
      </c>
      <c r="K993">
        <f t="shared" si="31"/>
        <v>109324.92</v>
      </c>
      <c r="L993" t="str">
        <f>VLOOKUP($B993,dim_stores!$A$1:$C$51,2,0)</f>
        <v>Hyderabad</v>
      </c>
    </row>
    <row r="994" spans="1:12" x14ac:dyDescent="0.3">
      <c r="A994" t="s">
        <v>1003</v>
      </c>
      <c r="B994" t="s">
        <v>40</v>
      </c>
      <c r="C994" t="s">
        <v>15</v>
      </c>
      <c r="D994" t="s">
        <v>35</v>
      </c>
      <c r="E994">
        <v>350</v>
      </c>
      <c r="F994" t="s">
        <v>21</v>
      </c>
      <c r="G994">
        <v>45</v>
      </c>
      <c r="H994">
        <v>148</v>
      </c>
      <c r="I994" t="str">
        <f>_xlfn.XLOOKUP($C994,dim_campaigns!$D$2:$D$3,dim_campaigns!$A$2:$A$3,"",0)</f>
        <v>Diwali</v>
      </c>
      <c r="J994" s="6">
        <f t="shared" si="30"/>
        <v>2.2888888888888888</v>
      </c>
      <c r="K994">
        <f t="shared" si="31"/>
        <v>41650</v>
      </c>
      <c r="L994" t="str">
        <f>VLOOKUP($B994,dim_stores!$A$1:$C$51,2,0)</f>
        <v>Madurai</v>
      </c>
    </row>
    <row r="995" spans="1:12" x14ac:dyDescent="0.3">
      <c r="A995" t="s">
        <v>1004</v>
      </c>
      <c r="B995" t="s">
        <v>99</v>
      </c>
      <c r="C995" t="s">
        <v>15</v>
      </c>
      <c r="D995" t="s">
        <v>24</v>
      </c>
      <c r="E995">
        <v>3000</v>
      </c>
      <c r="F995" t="s">
        <v>25</v>
      </c>
      <c r="G995">
        <v>243</v>
      </c>
      <c r="H995">
        <v>724</v>
      </c>
      <c r="I995" t="str">
        <f>_xlfn.XLOOKUP($C995,dim_campaigns!$D$2:$D$3,dim_campaigns!$A$2:$A$3,"",0)</f>
        <v>Diwali</v>
      </c>
      <c r="J995" s="6">
        <f t="shared" si="30"/>
        <v>1.9794238683127572</v>
      </c>
      <c r="K995">
        <f t="shared" si="31"/>
        <v>2539000</v>
      </c>
      <c r="L995" t="str">
        <f>VLOOKUP($B995,dim_stores!$A$1:$C$51,2,0)</f>
        <v>Coimbatore</v>
      </c>
    </row>
    <row r="996" spans="1:12" x14ac:dyDescent="0.3">
      <c r="A996" s="1" t="s">
        <v>1005</v>
      </c>
      <c r="B996" t="s">
        <v>29</v>
      </c>
      <c r="C996" t="s">
        <v>10</v>
      </c>
      <c r="D996" t="s">
        <v>24</v>
      </c>
      <c r="E996">
        <v>3000</v>
      </c>
      <c r="F996" t="s">
        <v>25</v>
      </c>
      <c r="G996">
        <v>109</v>
      </c>
      <c r="H996">
        <v>249</v>
      </c>
      <c r="I996" t="str">
        <f>_xlfn.XLOOKUP($C996,dim_campaigns!$D$2:$D$3,dim_campaigns!$A$2:$A$3,"",0)</f>
        <v>Sankranti</v>
      </c>
      <c r="J996" s="6">
        <f t="shared" si="30"/>
        <v>1.2844036697247707</v>
      </c>
      <c r="K996">
        <f t="shared" si="31"/>
        <v>949500</v>
      </c>
      <c r="L996" t="str">
        <f>VLOOKUP($B996,dim_stores!$A$1:$C$51,2,0)</f>
        <v>Bengaluru</v>
      </c>
    </row>
    <row r="997" spans="1:12" x14ac:dyDescent="0.3">
      <c r="A997">
        <v>284539</v>
      </c>
      <c r="B997" t="s">
        <v>119</v>
      </c>
      <c r="C997" t="s">
        <v>10</v>
      </c>
      <c r="D997" t="s">
        <v>16</v>
      </c>
      <c r="E997">
        <v>200</v>
      </c>
      <c r="F997" t="s">
        <v>21</v>
      </c>
      <c r="G997">
        <v>384</v>
      </c>
      <c r="H997">
        <v>1678</v>
      </c>
      <c r="I997" t="str">
        <f>_xlfn.XLOOKUP($C997,dim_campaigns!$D$2:$D$3,dim_campaigns!$A$2:$A$3,"",0)</f>
        <v>Sankranti</v>
      </c>
      <c r="J997" s="6">
        <f t="shared" si="30"/>
        <v>3.3697916666666665</v>
      </c>
      <c r="K997">
        <f t="shared" si="31"/>
        <v>244600</v>
      </c>
      <c r="L997" t="str">
        <f>VLOOKUP($B997,dim_stores!$A$1:$C$51,2,0)</f>
        <v>Chennai</v>
      </c>
    </row>
    <row r="998" spans="1:12" x14ac:dyDescent="0.3">
      <c r="A998" t="s">
        <v>1006</v>
      </c>
      <c r="B998" t="s">
        <v>110</v>
      </c>
      <c r="C998" t="s">
        <v>10</v>
      </c>
      <c r="D998" t="s">
        <v>53</v>
      </c>
      <c r="E998">
        <v>860</v>
      </c>
      <c r="F998" t="s">
        <v>54</v>
      </c>
      <c r="G998">
        <v>424</v>
      </c>
      <c r="H998">
        <v>580</v>
      </c>
      <c r="I998" t="str">
        <f>_xlfn.XLOOKUP($C998,dim_campaigns!$D$2:$D$3,dim_campaigns!$A$2:$A$3,"",0)</f>
        <v>Sankranti</v>
      </c>
      <c r="J998" s="6">
        <f t="shared" si="30"/>
        <v>0.36792452830188677</v>
      </c>
      <c r="K998">
        <f t="shared" si="31"/>
        <v>698836</v>
      </c>
      <c r="L998" t="str">
        <f>VLOOKUP($B998,dim_stores!$A$1:$C$51,2,0)</f>
        <v>Chennai</v>
      </c>
    </row>
    <row r="999" spans="1:12" x14ac:dyDescent="0.3">
      <c r="A999" t="s">
        <v>1007</v>
      </c>
      <c r="B999" t="s">
        <v>14</v>
      </c>
      <c r="C999" t="s">
        <v>10</v>
      </c>
      <c r="D999" t="s">
        <v>24</v>
      </c>
      <c r="E999">
        <v>3000</v>
      </c>
      <c r="F999" t="s">
        <v>25</v>
      </c>
      <c r="G999">
        <v>126</v>
      </c>
      <c r="H999">
        <v>278</v>
      </c>
      <c r="I999" t="str">
        <f>_xlfn.XLOOKUP($C999,dim_campaigns!$D$2:$D$3,dim_campaigns!$A$2:$A$3,"",0)</f>
        <v>Sankranti</v>
      </c>
      <c r="J999" s="6">
        <f t="shared" si="30"/>
        <v>1.2063492063492063</v>
      </c>
      <c r="K999">
        <f t="shared" si="31"/>
        <v>1073000</v>
      </c>
      <c r="L999" t="str">
        <f>VLOOKUP($B999,dim_stores!$A$1:$C$51,2,0)</f>
        <v>Bengaluru</v>
      </c>
    </row>
    <row r="1000" spans="1:12" x14ac:dyDescent="0.3">
      <c r="A1000" t="s">
        <v>1008</v>
      </c>
      <c r="B1000" t="s">
        <v>67</v>
      </c>
      <c r="C1000" t="s">
        <v>10</v>
      </c>
      <c r="D1000" t="s">
        <v>35</v>
      </c>
      <c r="E1000">
        <v>350</v>
      </c>
      <c r="F1000" t="s">
        <v>21</v>
      </c>
      <c r="G1000">
        <v>129</v>
      </c>
      <c r="H1000">
        <v>528</v>
      </c>
      <c r="I1000" t="str">
        <f>_xlfn.XLOOKUP($C1000,dim_campaigns!$D$2:$D$3,dim_campaigns!$A$2:$A$3,"",0)</f>
        <v>Sankranti</v>
      </c>
      <c r="J1000" s="6">
        <f t="shared" si="30"/>
        <v>3.0930232558139537</v>
      </c>
      <c r="K1000">
        <f t="shared" si="31"/>
        <v>137550</v>
      </c>
      <c r="L1000" t="str">
        <f>VLOOKUP($B1000,dim_stores!$A$1:$C$51,2,0)</f>
        <v>Bengaluru</v>
      </c>
    </row>
    <row r="1001" spans="1:12" x14ac:dyDescent="0.3">
      <c r="A1001" t="s">
        <v>1009</v>
      </c>
      <c r="B1001" t="s">
        <v>37</v>
      </c>
      <c r="C1001" t="s">
        <v>10</v>
      </c>
      <c r="D1001" t="s">
        <v>85</v>
      </c>
      <c r="E1001">
        <v>90</v>
      </c>
      <c r="F1001" t="s">
        <v>17</v>
      </c>
      <c r="G1001">
        <v>46</v>
      </c>
      <c r="H1001">
        <v>38</v>
      </c>
      <c r="I1001" t="str">
        <f>_xlfn.XLOOKUP($C1001,dim_campaigns!$D$2:$D$3,dim_campaigns!$A$2:$A$3,"",0)</f>
        <v>Sankranti</v>
      </c>
      <c r="J1001" s="6">
        <f t="shared" si="30"/>
        <v>-0.17391304347826086</v>
      </c>
      <c r="K1001">
        <f t="shared" si="31"/>
        <v>6705</v>
      </c>
      <c r="L1001" t="str">
        <f>VLOOKUP($B1001,dim_stores!$A$1:$C$51,2,0)</f>
        <v>Coimbatore</v>
      </c>
    </row>
    <row r="1002" spans="1:12" x14ac:dyDescent="0.3">
      <c r="A1002" t="s">
        <v>1010</v>
      </c>
      <c r="B1002" t="s">
        <v>161</v>
      </c>
      <c r="C1002" t="s">
        <v>15</v>
      </c>
      <c r="D1002" t="s">
        <v>24</v>
      </c>
      <c r="E1002">
        <v>3000</v>
      </c>
      <c r="F1002" t="s">
        <v>25</v>
      </c>
      <c r="G1002">
        <v>393</v>
      </c>
      <c r="H1002">
        <v>1375</v>
      </c>
      <c r="I1002" t="str">
        <f>_xlfn.XLOOKUP($C1002,dim_campaigns!$D$2:$D$3,dim_campaigns!$A$2:$A$3,"",0)</f>
        <v>Diwali</v>
      </c>
      <c r="J1002" s="6">
        <f t="shared" si="30"/>
        <v>2.4987277353689565</v>
      </c>
      <c r="K1002">
        <f t="shared" si="31"/>
        <v>4616500</v>
      </c>
      <c r="L1002" t="str">
        <f>VLOOKUP($B1002,dim_stores!$A$1:$C$51,2,0)</f>
        <v>Chennai</v>
      </c>
    </row>
    <row r="1003" spans="1:12" x14ac:dyDescent="0.3">
      <c r="A1003" t="s">
        <v>1011</v>
      </c>
      <c r="B1003" t="s">
        <v>103</v>
      </c>
      <c r="C1003" t="s">
        <v>10</v>
      </c>
      <c r="D1003" t="s">
        <v>11</v>
      </c>
      <c r="E1003">
        <v>190</v>
      </c>
      <c r="F1003" t="s">
        <v>12</v>
      </c>
      <c r="G1003">
        <v>37</v>
      </c>
      <c r="H1003">
        <v>41</v>
      </c>
      <c r="I1003" t="str">
        <f>_xlfn.XLOOKUP($C1003,dim_campaigns!$D$2:$D$3,dim_campaigns!$A$2:$A$3,"",0)</f>
        <v>Sankranti</v>
      </c>
      <c r="J1003" s="6">
        <f t="shared" si="30"/>
        <v>0.10810810810810811</v>
      </c>
      <c r="K1003">
        <f t="shared" si="31"/>
        <v>10925</v>
      </c>
      <c r="L1003" t="str">
        <f>VLOOKUP($B1003,dim_stores!$A$1:$C$51,2,0)</f>
        <v>Hyderabad</v>
      </c>
    </row>
    <row r="1004" spans="1:12" x14ac:dyDescent="0.3">
      <c r="A1004" t="s">
        <v>1012</v>
      </c>
      <c r="B1004" t="s">
        <v>78</v>
      </c>
      <c r="C1004" t="s">
        <v>15</v>
      </c>
      <c r="D1004" t="s">
        <v>35</v>
      </c>
      <c r="E1004">
        <v>350</v>
      </c>
      <c r="F1004" t="s">
        <v>21</v>
      </c>
      <c r="G1004">
        <v>56</v>
      </c>
      <c r="H1004">
        <v>168</v>
      </c>
      <c r="I1004" t="str">
        <f>_xlfn.XLOOKUP($C1004,dim_campaigns!$D$2:$D$3,dim_campaigns!$A$2:$A$3,"",0)</f>
        <v>Diwali</v>
      </c>
      <c r="J1004" s="6">
        <f t="shared" si="30"/>
        <v>2</v>
      </c>
      <c r="K1004">
        <f t="shared" si="31"/>
        <v>49000</v>
      </c>
      <c r="L1004" t="str">
        <f>VLOOKUP($B1004,dim_stores!$A$1:$C$51,2,0)</f>
        <v>Mysuru</v>
      </c>
    </row>
    <row r="1005" spans="1:12" x14ac:dyDescent="0.3">
      <c r="A1005" t="s">
        <v>1013</v>
      </c>
      <c r="B1005" t="s">
        <v>95</v>
      </c>
      <c r="C1005" t="s">
        <v>15</v>
      </c>
      <c r="D1005" t="s">
        <v>20</v>
      </c>
      <c r="E1005">
        <v>300</v>
      </c>
      <c r="F1005" t="s">
        <v>21</v>
      </c>
      <c r="G1005">
        <v>64</v>
      </c>
      <c r="H1005">
        <v>211</v>
      </c>
      <c r="I1005" t="str">
        <f>_xlfn.XLOOKUP($C1005,dim_campaigns!$D$2:$D$3,dim_campaigns!$A$2:$A$3,"",0)</f>
        <v>Diwali</v>
      </c>
      <c r="J1005" s="6">
        <f t="shared" si="30"/>
        <v>2.296875</v>
      </c>
      <c r="K1005">
        <f t="shared" si="31"/>
        <v>50850</v>
      </c>
      <c r="L1005" t="str">
        <f>VLOOKUP($B1005,dim_stores!$A$1:$C$51,2,0)</f>
        <v>Hyderabad</v>
      </c>
    </row>
    <row r="1006" spans="1:12" x14ac:dyDescent="0.3">
      <c r="A1006" t="s">
        <v>1014</v>
      </c>
      <c r="B1006" t="s">
        <v>9</v>
      </c>
      <c r="C1006" t="s">
        <v>10</v>
      </c>
      <c r="D1006" t="s">
        <v>61</v>
      </c>
      <c r="E1006">
        <v>172</v>
      </c>
      <c r="F1006" t="s">
        <v>54</v>
      </c>
      <c r="G1006">
        <v>196</v>
      </c>
      <c r="H1006">
        <v>307</v>
      </c>
      <c r="I1006" t="str">
        <f>_xlfn.XLOOKUP($C1006,dim_campaigns!$D$2:$D$3,dim_campaigns!$A$2:$A$3,"",0)</f>
        <v>Sankranti</v>
      </c>
      <c r="J1006" s="6">
        <f t="shared" si="30"/>
        <v>0.56632653061224492</v>
      </c>
      <c r="K1006">
        <f t="shared" si="31"/>
        <v>69090.679999999993</v>
      </c>
      <c r="L1006" t="str">
        <f>VLOOKUP($B1006,dim_stores!$A$1:$C$51,2,0)</f>
        <v>Coimbatore</v>
      </c>
    </row>
    <row r="1007" spans="1:12" x14ac:dyDescent="0.3">
      <c r="A1007" t="s">
        <v>1015</v>
      </c>
      <c r="B1007" t="s">
        <v>107</v>
      </c>
      <c r="C1007" t="s">
        <v>10</v>
      </c>
      <c r="D1007" t="s">
        <v>53</v>
      </c>
      <c r="E1007">
        <v>860</v>
      </c>
      <c r="F1007" t="s">
        <v>54</v>
      </c>
      <c r="G1007">
        <v>399</v>
      </c>
      <c r="H1007">
        <v>586</v>
      </c>
      <c r="I1007" t="str">
        <f>_xlfn.XLOOKUP($C1007,dim_campaigns!$D$2:$D$3,dim_campaigns!$A$2:$A$3,"",0)</f>
        <v>Sankranti</v>
      </c>
      <c r="J1007" s="6">
        <f t="shared" si="30"/>
        <v>0.46867167919799496</v>
      </c>
      <c r="K1007">
        <f t="shared" si="31"/>
        <v>680793.2</v>
      </c>
      <c r="L1007" t="str">
        <f>VLOOKUP($B1007,dim_stores!$A$1:$C$51,2,0)</f>
        <v>Coimbatore</v>
      </c>
    </row>
    <row r="1008" spans="1:12" x14ac:dyDescent="0.3">
      <c r="A1008" t="s">
        <v>1016</v>
      </c>
      <c r="B1008" t="s">
        <v>19</v>
      </c>
      <c r="C1008" t="s">
        <v>10</v>
      </c>
      <c r="D1008" t="s">
        <v>32</v>
      </c>
      <c r="E1008">
        <v>50</v>
      </c>
      <c r="F1008" t="s">
        <v>17</v>
      </c>
      <c r="G1008">
        <v>18</v>
      </c>
      <c r="H1008">
        <v>16</v>
      </c>
      <c r="I1008" t="str">
        <f>_xlfn.XLOOKUP($C1008,dim_campaigns!$D$2:$D$3,dim_campaigns!$A$2:$A$3,"",0)</f>
        <v>Sankranti</v>
      </c>
      <c r="J1008" s="6">
        <f t="shared" si="30"/>
        <v>-0.1111111111111111</v>
      </c>
      <c r="K1008">
        <f t="shared" si="31"/>
        <v>1500</v>
      </c>
      <c r="L1008" t="str">
        <f>VLOOKUP($B1008,dim_stores!$A$1:$C$51,2,0)</f>
        <v>Vijayawada</v>
      </c>
    </row>
    <row r="1009" spans="1:12" x14ac:dyDescent="0.3">
      <c r="A1009" t="s">
        <v>1017</v>
      </c>
      <c r="B1009" t="s">
        <v>37</v>
      </c>
      <c r="C1009" t="s">
        <v>10</v>
      </c>
      <c r="D1009" t="s">
        <v>53</v>
      </c>
      <c r="E1009">
        <v>860</v>
      </c>
      <c r="F1009" t="s">
        <v>54</v>
      </c>
      <c r="G1009">
        <v>396</v>
      </c>
      <c r="H1009">
        <v>558</v>
      </c>
      <c r="I1009" t="str">
        <f>_xlfn.XLOOKUP($C1009,dim_campaigns!$D$2:$D$3,dim_campaigns!$A$2:$A$3,"",0)</f>
        <v>Sankranti</v>
      </c>
      <c r="J1009" s="6">
        <f t="shared" si="30"/>
        <v>0.40909090909090912</v>
      </c>
      <c r="K1009">
        <f t="shared" si="31"/>
        <v>662079.60000000009</v>
      </c>
      <c r="L1009" t="str">
        <f>VLOOKUP($B1009,dim_stores!$A$1:$C$51,2,0)</f>
        <v>Coimbatore</v>
      </c>
    </row>
    <row r="1010" spans="1:12" x14ac:dyDescent="0.3">
      <c r="A1010" t="s">
        <v>1018</v>
      </c>
      <c r="B1010" t="s">
        <v>110</v>
      </c>
      <c r="C1010" t="s">
        <v>15</v>
      </c>
      <c r="D1010" t="s">
        <v>32</v>
      </c>
      <c r="E1010">
        <v>65</v>
      </c>
      <c r="F1010" t="s">
        <v>12</v>
      </c>
      <c r="G1010">
        <v>126</v>
      </c>
      <c r="H1010">
        <v>167</v>
      </c>
      <c r="I1010" t="str">
        <f>_xlfn.XLOOKUP($C1010,dim_campaigns!$D$2:$D$3,dim_campaigns!$A$2:$A$3,"",0)</f>
        <v>Diwali</v>
      </c>
      <c r="J1010" s="6">
        <f t="shared" si="30"/>
        <v>0.32539682539682541</v>
      </c>
      <c r="K1010">
        <f t="shared" si="31"/>
        <v>13617.5</v>
      </c>
      <c r="L1010" t="str">
        <f>VLOOKUP($B1010,dim_stores!$A$1:$C$51,2,0)</f>
        <v>Chennai</v>
      </c>
    </row>
    <row r="1011" spans="1:12" x14ac:dyDescent="0.3">
      <c r="A1011" t="s">
        <v>1019</v>
      </c>
      <c r="B1011" t="s">
        <v>123</v>
      </c>
      <c r="C1011" t="s">
        <v>10</v>
      </c>
      <c r="D1011" t="s">
        <v>32</v>
      </c>
      <c r="E1011">
        <v>50</v>
      </c>
      <c r="F1011" t="s">
        <v>17</v>
      </c>
      <c r="G1011">
        <v>28</v>
      </c>
      <c r="H1011">
        <v>24</v>
      </c>
      <c r="I1011" t="str">
        <f>_xlfn.XLOOKUP($C1011,dim_campaigns!$D$2:$D$3,dim_campaigns!$A$2:$A$3,"",0)</f>
        <v>Sankranti</v>
      </c>
      <c r="J1011" s="6">
        <f t="shared" si="30"/>
        <v>-0.14285714285714285</v>
      </c>
      <c r="K1011">
        <f t="shared" si="31"/>
        <v>2300</v>
      </c>
      <c r="L1011" t="str">
        <f>VLOOKUP($B1011,dim_stores!$A$1:$C$51,2,0)</f>
        <v>Bengaluru</v>
      </c>
    </row>
    <row r="1012" spans="1:12" x14ac:dyDescent="0.3">
      <c r="A1012" t="s">
        <v>1020</v>
      </c>
      <c r="B1012" t="s">
        <v>174</v>
      </c>
      <c r="C1012" t="s">
        <v>10</v>
      </c>
      <c r="D1012" t="s">
        <v>32</v>
      </c>
      <c r="E1012">
        <v>50</v>
      </c>
      <c r="F1012" t="s">
        <v>17</v>
      </c>
      <c r="G1012">
        <v>15</v>
      </c>
      <c r="H1012">
        <v>14</v>
      </c>
      <c r="I1012" t="str">
        <f>_xlfn.XLOOKUP($C1012,dim_campaigns!$D$2:$D$3,dim_campaigns!$A$2:$A$3,"",0)</f>
        <v>Sankranti</v>
      </c>
      <c r="J1012" s="6">
        <f t="shared" si="30"/>
        <v>-6.6666666666666666E-2</v>
      </c>
      <c r="K1012">
        <f t="shared" si="31"/>
        <v>1275</v>
      </c>
      <c r="L1012" t="str">
        <f>VLOOKUP($B1012,dim_stores!$A$1:$C$51,2,0)</f>
        <v>Trivandrum</v>
      </c>
    </row>
    <row r="1013" spans="1:12" x14ac:dyDescent="0.3">
      <c r="A1013" t="s">
        <v>1021</v>
      </c>
      <c r="B1013" t="s">
        <v>58</v>
      </c>
      <c r="C1013" t="s">
        <v>15</v>
      </c>
      <c r="D1013" t="s">
        <v>11</v>
      </c>
      <c r="E1013">
        <v>190</v>
      </c>
      <c r="F1013" t="s">
        <v>12</v>
      </c>
      <c r="G1013">
        <v>78</v>
      </c>
      <c r="H1013">
        <v>92</v>
      </c>
      <c r="I1013" t="str">
        <f>_xlfn.XLOOKUP($C1013,dim_campaigns!$D$2:$D$3,dim_campaigns!$A$2:$A$3,"",0)</f>
        <v>Diwali</v>
      </c>
      <c r="J1013" s="6">
        <f t="shared" si="30"/>
        <v>0.17948717948717949</v>
      </c>
      <c r="K1013">
        <f t="shared" si="31"/>
        <v>23560</v>
      </c>
      <c r="L1013" t="str">
        <f>VLOOKUP($B1013,dim_stores!$A$1:$C$51,2,0)</f>
        <v>Chennai</v>
      </c>
    </row>
    <row r="1014" spans="1:12" x14ac:dyDescent="0.3">
      <c r="A1014" t="s">
        <v>1022</v>
      </c>
      <c r="B1014" t="s">
        <v>142</v>
      </c>
      <c r="C1014" t="s">
        <v>10</v>
      </c>
      <c r="D1014" t="s">
        <v>68</v>
      </c>
      <c r="E1014">
        <v>1020</v>
      </c>
      <c r="F1014" t="s">
        <v>21</v>
      </c>
      <c r="G1014">
        <v>63</v>
      </c>
      <c r="H1014">
        <v>244</v>
      </c>
      <c r="I1014" t="str">
        <f>_xlfn.XLOOKUP($C1014,dim_campaigns!$D$2:$D$3,dim_campaigns!$A$2:$A$3,"",0)</f>
        <v>Sankranti</v>
      </c>
      <c r="J1014" s="6">
        <f t="shared" si="30"/>
        <v>2.873015873015873</v>
      </c>
      <c r="K1014">
        <f t="shared" si="31"/>
        <v>188700</v>
      </c>
      <c r="L1014" t="str">
        <f>VLOOKUP($B1014,dim_stores!$A$1:$C$51,2,0)</f>
        <v>Madurai</v>
      </c>
    </row>
    <row r="1015" spans="1:12" x14ac:dyDescent="0.3">
      <c r="A1015" t="s">
        <v>1023</v>
      </c>
      <c r="B1015" t="s">
        <v>193</v>
      </c>
      <c r="C1015" t="s">
        <v>10</v>
      </c>
      <c r="D1015" t="s">
        <v>16</v>
      </c>
      <c r="E1015">
        <v>200</v>
      </c>
      <c r="F1015" t="s">
        <v>21</v>
      </c>
      <c r="G1015">
        <v>307</v>
      </c>
      <c r="H1015">
        <v>1200</v>
      </c>
      <c r="I1015" t="str">
        <f>_xlfn.XLOOKUP($C1015,dim_campaigns!$D$2:$D$3,dim_campaigns!$A$2:$A$3,"",0)</f>
        <v>Sankranti</v>
      </c>
      <c r="J1015" s="6">
        <f t="shared" si="30"/>
        <v>2.9087947882736156</v>
      </c>
      <c r="K1015">
        <f t="shared" si="31"/>
        <v>181400</v>
      </c>
      <c r="L1015" t="str">
        <f>VLOOKUP($B1015,dim_stores!$A$1:$C$51,2,0)</f>
        <v>Bengaluru</v>
      </c>
    </row>
    <row r="1016" spans="1:12" x14ac:dyDescent="0.3">
      <c r="A1016" t="s">
        <v>1024</v>
      </c>
      <c r="B1016" t="s">
        <v>63</v>
      </c>
      <c r="C1016" t="s">
        <v>10</v>
      </c>
      <c r="D1016" t="s">
        <v>20</v>
      </c>
      <c r="E1016">
        <v>300</v>
      </c>
      <c r="F1016" t="s">
        <v>21</v>
      </c>
      <c r="G1016">
        <v>27</v>
      </c>
      <c r="H1016">
        <v>107</v>
      </c>
      <c r="I1016" t="str">
        <f>_xlfn.XLOOKUP($C1016,dim_campaigns!$D$2:$D$3,dim_campaigns!$A$2:$A$3,"",0)</f>
        <v>Sankranti</v>
      </c>
      <c r="J1016" s="6">
        <f t="shared" si="30"/>
        <v>2.9629629629629628</v>
      </c>
      <c r="K1016">
        <f t="shared" si="31"/>
        <v>24150</v>
      </c>
      <c r="L1016" t="str">
        <f>VLOOKUP($B1016,dim_stores!$A$1:$C$51,2,0)</f>
        <v>Visakhapatnam</v>
      </c>
    </row>
    <row r="1017" spans="1:12" x14ac:dyDescent="0.3">
      <c r="A1017" t="s">
        <v>1025</v>
      </c>
      <c r="B1017" t="s">
        <v>96</v>
      </c>
      <c r="C1017" t="s">
        <v>15</v>
      </c>
      <c r="D1017" t="s">
        <v>16</v>
      </c>
      <c r="E1017">
        <v>156</v>
      </c>
      <c r="F1017" t="s">
        <v>17</v>
      </c>
      <c r="G1017">
        <v>378</v>
      </c>
      <c r="H1017">
        <v>332</v>
      </c>
      <c r="I1017" t="str">
        <f>_xlfn.XLOOKUP($C1017,dim_campaigns!$D$2:$D$3,dim_campaigns!$A$2:$A$3,"",0)</f>
        <v>Diwali</v>
      </c>
      <c r="J1017" s="6">
        <f t="shared" si="30"/>
        <v>-0.12169312169312169</v>
      </c>
      <c r="K1017">
        <f t="shared" si="31"/>
        <v>97812</v>
      </c>
      <c r="L1017" t="str">
        <f>VLOOKUP($B1017,dim_stores!$A$1:$C$51,2,0)</f>
        <v>Mysuru</v>
      </c>
    </row>
    <row r="1018" spans="1:12" x14ac:dyDescent="0.3">
      <c r="A1018" s="1" t="s">
        <v>1026</v>
      </c>
      <c r="B1018" t="s">
        <v>67</v>
      </c>
      <c r="C1018" t="s">
        <v>15</v>
      </c>
      <c r="D1018" t="s">
        <v>28</v>
      </c>
      <c r="E1018">
        <v>55</v>
      </c>
      <c r="F1018" t="s">
        <v>17</v>
      </c>
      <c r="G1018">
        <v>133</v>
      </c>
      <c r="H1018">
        <v>114</v>
      </c>
      <c r="I1018" t="str">
        <f>_xlfn.XLOOKUP($C1018,dim_campaigns!$D$2:$D$3,dim_campaigns!$A$2:$A$3,"",0)</f>
        <v>Diwali</v>
      </c>
      <c r="J1018" s="6">
        <f t="shared" si="30"/>
        <v>-0.14285714285714285</v>
      </c>
      <c r="K1018">
        <f t="shared" si="31"/>
        <v>12017.5</v>
      </c>
      <c r="L1018" t="str">
        <f>VLOOKUP($B1018,dim_stores!$A$1:$C$51,2,0)</f>
        <v>Bengaluru</v>
      </c>
    </row>
    <row r="1019" spans="1:12" x14ac:dyDescent="0.3">
      <c r="A1019" s="1" t="s">
        <v>1027</v>
      </c>
      <c r="B1019" t="s">
        <v>161</v>
      </c>
      <c r="C1019" t="s">
        <v>15</v>
      </c>
      <c r="D1019" t="s">
        <v>61</v>
      </c>
      <c r="E1019">
        <v>172</v>
      </c>
      <c r="F1019" t="s">
        <v>54</v>
      </c>
      <c r="G1019">
        <v>346</v>
      </c>
      <c r="H1019">
        <v>505</v>
      </c>
      <c r="I1019" t="str">
        <f>_xlfn.XLOOKUP($C1019,dim_campaigns!$D$2:$D$3,dim_campaigns!$A$2:$A$3,"",0)</f>
        <v>Diwali</v>
      </c>
      <c r="J1019" s="6">
        <f t="shared" si="30"/>
        <v>0.45953757225433528</v>
      </c>
      <c r="K1019">
        <f t="shared" si="31"/>
        <v>117708.2</v>
      </c>
      <c r="L1019" t="str">
        <f>VLOOKUP($B1019,dim_stores!$A$1:$C$51,2,0)</f>
        <v>Chennai</v>
      </c>
    </row>
    <row r="1020" spans="1:12" x14ac:dyDescent="0.3">
      <c r="A1020" t="s">
        <v>1028</v>
      </c>
      <c r="B1020" t="s">
        <v>110</v>
      </c>
      <c r="C1020" t="s">
        <v>15</v>
      </c>
      <c r="D1020" t="s">
        <v>35</v>
      </c>
      <c r="E1020">
        <v>350</v>
      </c>
      <c r="F1020" t="s">
        <v>21</v>
      </c>
      <c r="G1020">
        <v>61</v>
      </c>
      <c r="H1020">
        <v>203</v>
      </c>
      <c r="I1020" t="str">
        <f>_xlfn.XLOOKUP($C1020,dim_campaigns!$D$2:$D$3,dim_campaigns!$A$2:$A$3,"",0)</f>
        <v>Diwali</v>
      </c>
      <c r="J1020" s="6">
        <f t="shared" si="30"/>
        <v>2.3278688524590163</v>
      </c>
      <c r="K1020">
        <f t="shared" si="31"/>
        <v>56875</v>
      </c>
      <c r="L1020" t="str">
        <f>VLOOKUP($B1020,dim_stores!$A$1:$C$51,2,0)</f>
        <v>Chennai</v>
      </c>
    </row>
    <row r="1021" spans="1:12" x14ac:dyDescent="0.3">
      <c r="A1021" t="s">
        <v>1029</v>
      </c>
      <c r="B1021" t="s">
        <v>34</v>
      </c>
      <c r="C1021" t="s">
        <v>10</v>
      </c>
      <c r="D1021" t="s">
        <v>20</v>
      </c>
      <c r="E1021">
        <v>300</v>
      </c>
      <c r="F1021" t="s">
        <v>21</v>
      </c>
      <c r="G1021">
        <v>58</v>
      </c>
      <c r="H1021">
        <v>225</v>
      </c>
      <c r="I1021" t="str">
        <f>_xlfn.XLOOKUP($C1021,dim_campaigns!$D$2:$D$3,dim_campaigns!$A$2:$A$3,"",0)</f>
        <v>Sankranti</v>
      </c>
      <c r="J1021" s="6">
        <f t="shared" si="30"/>
        <v>2.8793103448275863</v>
      </c>
      <c r="K1021">
        <f t="shared" si="31"/>
        <v>51150</v>
      </c>
      <c r="L1021" t="str">
        <f>VLOOKUP($B1021,dim_stores!$A$1:$C$51,2,0)</f>
        <v>Hyderabad</v>
      </c>
    </row>
    <row r="1022" spans="1:12" x14ac:dyDescent="0.3">
      <c r="A1022" t="s">
        <v>1030</v>
      </c>
      <c r="B1022" t="s">
        <v>58</v>
      </c>
      <c r="C1022" t="s">
        <v>15</v>
      </c>
      <c r="D1022" t="s">
        <v>61</v>
      </c>
      <c r="E1022">
        <v>172</v>
      </c>
      <c r="F1022" t="s">
        <v>54</v>
      </c>
      <c r="G1022">
        <v>334</v>
      </c>
      <c r="H1022">
        <v>424</v>
      </c>
      <c r="I1022" t="str">
        <f>_xlfn.XLOOKUP($C1022,dim_campaigns!$D$2:$D$3,dim_campaigns!$A$2:$A$3,"",0)</f>
        <v>Diwali</v>
      </c>
      <c r="J1022" s="6">
        <f t="shared" si="30"/>
        <v>0.26946107784431139</v>
      </c>
      <c r="K1022">
        <f t="shared" si="31"/>
        <v>106309.75999999999</v>
      </c>
      <c r="L1022" t="str">
        <f>VLOOKUP($B1022,dim_stores!$A$1:$C$51,2,0)</f>
        <v>Chennai</v>
      </c>
    </row>
    <row r="1023" spans="1:12" x14ac:dyDescent="0.3">
      <c r="A1023" t="s">
        <v>1031</v>
      </c>
      <c r="B1023" t="s">
        <v>56</v>
      </c>
      <c r="C1023" t="s">
        <v>10</v>
      </c>
      <c r="D1023" t="s">
        <v>35</v>
      </c>
      <c r="E1023">
        <v>350</v>
      </c>
      <c r="F1023" t="s">
        <v>21</v>
      </c>
      <c r="G1023">
        <v>105</v>
      </c>
      <c r="H1023">
        <v>423</v>
      </c>
      <c r="I1023" t="str">
        <f>_xlfn.XLOOKUP($C1023,dim_campaigns!$D$2:$D$3,dim_campaigns!$A$2:$A$3,"",0)</f>
        <v>Sankranti</v>
      </c>
      <c r="J1023" s="6">
        <f t="shared" si="30"/>
        <v>3.0285714285714285</v>
      </c>
      <c r="K1023">
        <f t="shared" si="31"/>
        <v>110775</v>
      </c>
      <c r="L1023" t="str">
        <f>VLOOKUP($B1023,dim_stores!$A$1:$C$51,2,0)</f>
        <v>Chennai</v>
      </c>
    </row>
    <row r="1024" spans="1:12" x14ac:dyDescent="0.3">
      <c r="A1024" t="s">
        <v>1032</v>
      </c>
      <c r="B1024" t="s">
        <v>110</v>
      </c>
      <c r="C1024" t="s">
        <v>15</v>
      </c>
      <c r="D1024" t="s">
        <v>48</v>
      </c>
      <c r="E1024">
        <v>62</v>
      </c>
      <c r="F1024" t="s">
        <v>12</v>
      </c>
      <c r="G1024">
        <v>115</v>
      </c>
      <c r="H1024">
        <v>154</v>
      </c>
      <c r="I1024" t="str">
        <f>_xlfn.XLOOKUP($C1024,dim_campaigns!$D$2:$D$3,dim_campaigns!$A$2:$A$3,"",0)</f>
        <v>Diwali</v>
      </c>
      <c r="J1024" s="6">
        <f t="shared" si="30"/>
        <v>0.33913043478260868</v>
      </c>
      <c r="K1024">
        <f t="shared" si="31"/>
        <v>11904</v>
      </c>
      <c r="L1024" t="str">
        <f>VLOOKUP($B1024,dim_stores!$A$1:$C$51,2,0)</f>
        <v>Chennai</v>
      </c>
    </row>
    <row r="1025" spans="1:12" x14ac:dyDescent="0.3">
      <c r="A1025" t="s">
        <v>1033</v>
      </c>
      <c r="B1025" t="s">
        <v>40</v>
      </c>
      <c r="C1025" t="s">
        <v>10</v>
      </c>
      <c r="D1025" t="s">
        <v>35</v>
      </c>
      <c r="E1025">
        <v>350</v>
      </c>
      <c r="F1025" t="s">
        <v>21</v>
      </c>
      <c r="G1025">
        <v>96</v>
      </c>
      <c r="H1025">
        <v>377</v>
      </c>
      <c r="I1025" t="str">
        <f>_xlfn.XLOOKUP($C1025,dim_campaigns!$D$2:$D$3,dim_campaigns!$A$2:$A$3,"",0)</f>
        <v>Sankranti</v>
      </c>
      <c r="J1025" s="6">
        <f t="shared" si="30"/>
        <v>2.9270833333333335</v>
      </c>
      <c r="K1025">
        <f t="shared" si="31"/>
        <v>99575</v>
      </c>
      <c r="L1025" t="str">
        <f>VLOOKUP($B1025,dim_stores!$A$1:$C$51,2,0)</f>
        <v>Madurai</v>
      </c>
    </row>
    <row r="1026" spans="1:12" x14ac:dyDescent="0.3">
      <c r="A1026" t="s">
        <v>1034</v>
      </c>
      <c r="B1026" t="s">
        <v>56</v>
      </c>
      <c r="C1026" t="s">
        <v>10</v>
      </c>
      <c r="D1026" t="s">
        <v>24</v>
      </c>
      <c r="E1026">
        <v>3000</v>
      </c>
      <c r="F1026" t="s">
        <v>25</v>
      </c>
      <c r="G1026">
        <v>117</v>
      </c>
      <c r="H1026">
        <v>251</v>
      </c>
      <c r="I1026" t="str">
        <f>_xlfn.XLOOKUP($C1026,dim_campaigns!$D$2:$D$3,dim_campaigns!$A$2:$A$3,"",0)</f>
        <v>Sankranti</v>
      </c>
      <c r="J1026" s="6">
        <f t="shared" si="30"/>
        <v>1.1452991452991452</v>
      </c>
      <c r="K1026">
        <f t="shared" si="31"/>
        <v>978500</v>
      </c>
      <c r="L1026" t="str">
        <f>VLOOKUP($B1026,dim_stores!$A$1:$C$51,2,0)</f>
        <v>Chennai</v>
      </c>
    </row>
    <row r="1027" spans="1:12" x14ac:dyDescent="0.3">
      <c r="A1027" t="s">
        <v>1035</v>
      </c>
      <c r="B1027" t="s">
        <v>23</v>
      </c>
      <c r="C1027" t="s">
        <v>15</v>
      </c>
      <c r="D1027" t="s">
        <v>53</v>
      </c>
      <c r="E1027">
        <v>860</v>
      </c>
      <c r="F1027" t="s">
        <v>54</v>
      </c>
      <c r="G1027">
        <v>244</v>
      </c>
      <c r="H1027">
        <v>312</v>
      </c>
      <c r="I1027" t="str">
        <f>_xlfn.XLOOKUP($C1027,dim_campaigns!$D$2:$D$3,dim_campaigns!$A$2:$A$3,"",0)</f>
        <v>Diwali</v>
      </c>
      <c r="J1027" s="6">
        <f t="shared" ref="J1027:J1090" si="32">IFERROR((H1027-G1027)/G1027,0)</f>
        <v>0.27868852459016391</v>
      </c>
      <c r="K1027">
        <f t="shared" ref="K1027:K1090" si="33">E1027*G1027+(E1027-IF(F1027="500 Cashback",500,IF(F1027="BOGOF",E1027*50%,IF(F1027="25% OFF",E1027*25%,IF(F1027="33% OFF",E1027*33%,IF(F1027="50% OFF",E1027*50%,0))))))*H1027</f>
        <v>389614.4</v>
      </c>
      <c r="L1027" t="str">
        <f>VLOOKUP($B1027,dim_stores!$A$1:$C$51,2,0)</f>
        <v>Coimbatore</v>
      </c>
    </row>
    <row r="1028" spans="1:12" x14ac:dyDescent="0.3">
      <c r="A1028" t="s">
        <v>1036</v>
      </c>
      <c r="B1028" t="s">
        <v>89</v>
      </c>
      <c r="C1028" t="s">
        <v>15</v>
      </c>
      <c r="D1028" t="s">
        <v>24</v>
      </c>
      <c r="E1028">
        <v>3000</v>
      </c>
      <c r="F1028" t="s">
        <v>25</v>
      </c>
      <c r="G1028">
        <v>224</v>
      </c>
      <c r="H1028">
        <v>685</v>
      </c>
      <c r="I1028" t="str">
        <f>_xlfn.XLOOKUP($C1028,dim_campaigns!$D$2:$D$3,dim_campaigns!$A$2:$A$3,"",0)</f>
        <v>Diwali</v>
      </c>
      <c r="J1028" s="6">
        <f t="shared" si="32"/>
        <v>2.0580357142857144</v>
      </c>
      <c r="K1028">
        <f t="shared" si="33"/>
        <v>2384500</v>
      </c>
      <c r="L1028" t="str">
        <f>VLOOKUP($B1028,dim_stores!$A$1:$C$51,2,0)</f>
        <v>Vijayawada</v>
      </c>
    </row>
    <row r="1029" spans="1:12" x14ac:dyDescent="0.3">
      <c r="A1029" t="s">
        <v>1037</v>
      </c>
      <c r="B1029" t="s">
        <v>19</v>
      </c>
      <c r="C1029" t="s">
        <v>10</v>
      </c>
      <c r="D1029" t="s">
        <v>28</v>
      </c>
      <c r="E1029">
        <v>55</v>
      </c>
      <c r="F1029" t="s">
        <v>17</v>
      </c>
      <c r="G1029">
        <v>16</v>
      </c>
      <c r="H1029">
        <v>14</v>
      </c>
      <c r="I1029" t="str">
        <f>_xlfn.XLOOKUP($C1029,dim_campaigns!$D$2:$D$3,dim_campaigns!$A$2:$A$3,"",0)</f>
        <v>Sankranti</v>
      </c>
      <c r="J1029" s="6">
        <f t="shared" si="32"/>
        <v>-0.125</v>
      </c>
      <c r="K1029">
        <f t="shared" si="33"/>
        <v>1457.5</v>
      </c>
      <c r="L1029" t="str">
        <f>VLOOKUP($B1029,dim_stores!$A$1:$C$51,2,0)</f>
        <v>Vijayawada</v>
      </c>
    </row>
    <row r="1030" spans="1:12" x14ac:dyDescent="0.3">
      <c r="A1030" t="s">
        <v>1038</v>
      </c>
      <c r="B1030" t="s">
        <v>212</v>
      </c>
      <c r="C1030" t="s">
        <v>10</v>
      </c>
      <c r="D1030" t="s">
        <v>68</v>
      </c>
      <c r="E1030">
        <v>1020</v>
      </c>
      <c r="F1030" t="s">
        <v>21</v>
      </c>
      <c r="G1030">
        <v>124</v>
      </c>
      <c r="H1030">
        <v>514</v>
      </c>
      <c r="I1030" t="str">
        <f>_xlfn.XLOOKUP($C1030,dim_campaigns!$D$2:$D$3,dim_campaigns!$A$2:$A$3,"",0)</f>
        <v>Sankranti</v>
      </c>
      <c r="J1030" s="6">
        <f t="shared" si="32"/>
        <v>3.1451612903225805</v>
      </c>
      <c r="K1030">
        <f t="shared" si="33"/>
        <v>388620</v>
      </c>
      <c r="L1030" t="str">
        <f>VLOOKUP($B1030,dim_stores!$A$1:$C$51,2,0)</f>
        <v>Bengaluru</v>
      </c>
    </row>
    <row r="1031" spans="1:12" x14ac:dyDescent="0.3">
      <c r="A1031" t="s">
        <v>1039</v>
      </c>
      <c r="B1031" t="s">
        <v>174</v>
      </c>
      <c r="C1031" t="s">
        <v>10</v>
      </c>
      <c r="D1031" t="s">
        <v>53</v>
      </c>
      <c r="E1031">
        <v>860</v>
      </c>
      <c r="F1031" t="s">
        <v>54</v>
      </c>
      <c r="G1031">
        <v>231</v>
      </c>
      <c r="H1031">
        <v>314</v>
      </c>
      <c r="I1031" t="str">
        <f>_xlfn.XLOOKUP($C1031,dim_campaigns!$D$2:$D$3,dim_campaigns!$A$2:$A$3,"",0)</f>
        <v>Sankranti</v>
      </c>
      <c r="J1031" s="6">
        <f t="shared" si="32"/>
        <v>0.3593073593073593</v>
      </c>
      <c r="K1031">
        <f t="shared" si="33"/>
        <v>379586.80000000005</v>
      </c>
      <c r="L1031" t="str">
        <f>VLOOKUP($B1031,dim_stores!$A$1:$C$51,2,0)</f>
        <v>Trivandrum</v>
      </c>
    </row>
    <row r="1032" spans="1:12" x14ac:dyDescent="0.3">
      <c r="A1032" t="s">
        <v>1040</v>
      </c>
      <c r="B1032" t="s">
        <v>193</v>
      </c>
      <c r="C1032" t="s">
        <v>10</v>
      </c>
      <c r="D1032" t="s">
        <v>61</v>
      </c>
      <c r="E1032">
        <v>172</v>
      </c>
      <c r="F1032" t="s">
        <v>54</v>
      </c>
      <c r="G1032">
        <v>304</v>
      </c>
      <c r="H1032">
        <v>428</v>
      </c>
      <c r="I1032" t="str">
        <f>_xlfn.XLOOKUP($C1032,dim_campaigns!$D$2:$D$3,dim_campaigns!$A$2:$A$3,"",0)</f>
        <v>Sankranti</v>
      </c>
      <c r="J1032" s="6">
        <f t="shared" si="32"/>
        <v>0.40789473684210525</v>
      </c>
      <c r="K1032">
        <f t="shared" si="33"/>
        <v>101610.72</v>
      </c>
      <c r="L1032" t="str">
        <f>VLOOKUP($B1032,dim_stores!$A$1:$C$51,2,0)</f>
        <v>Bengaluru</v>
      </c>
    </row>
    <row r="1033" spans="1:12" x14ac:dyDescent="0.3">
      <c r="A1033" t="s">
        <v>1041</v>
      </c>
      <c r="B1033" t="s">
        <v>117</v>
      </c>
      <c r="C1033" t="s">
        <v>15</v>
      </c>
      <c r="D1033" t="s">
        <v>53</v>
      </c>
      <c r="E1033">
        <v>860</v>
      </c>
      <c r="F1033" t="s">
        <v>54</v>
      </c>
      <c r="G1033">
        <v>166</v>
      </c>
      <c r="H1033">
        <v>252</v>
      </c>
      <c r="I1033" t="str">
        <f>_xlfn.XLOOKUP($C1033,dim_campaigns!$D$2:$D$3,dim_campaigns!$A$2:$A$3,"",0)</f>
        <v>Diwali</v>
      </c>
      <c r="J1033" s="6">
        <f t="shared" si="32"/>
        <v>0.51807228915662651</v>
      </c>
      <c r="K1033">
        <f t="shared" si="33"/>
        <v>287962.40000000002</v>
      </c>
      <c r="L1033" t="str">
        <f>VLOOKUP($B1033,dim_stores!$A$1:$C$51,2,0)</f>
        <v>Mangalore</v>
      </c>
    </row>
    <row r="1034" spans="1:12" x14ac:dyDescent="0.3">
      <c r="A1034" t="s">
        <v>1042</v>
      </c>
      <c r="B1034" t="s">
        <v>65</v>
      </c>
      <c r="C1034" t="s">
        <v>10</v>
      </c>
      <c r="D1034" t="s">
        <v>61</v>
      </c>
      <c r="E1034">
        <v>172</v>
      </c>
      <c r="F1034" t="s">
        <v>54</v>
      </c>
      <c r="G1034">
        <v>336</v>
      </c>
      <c r="H1034">
        <v>467</v>
      </c>
      <c r="I1034" t="str">
        <f>_xlfn.XLOOKUP($C1034,dim_campaigns!$D$2:$D$3,dim_campaigns!$A$2:$A$3,"",0)</f>
        <v>Sankranti</v>
      </c>
      <c r="J1034" s="6">
        <f t="shared" si="32"/>
        <v>0.38988095238095238</v>
      </c>
      <c r="K1034">
        <f t="shared" si="33"/>
        <v>111609.07999999999</v>
      </c>
      <c r="L1034" t="str">
        <f>VLOOKUP($B1034,dim_stores!$A$1:$C$51,2,0)</f>
        <v>Hyderabad</v>
      </c>
    </row>
    <row r="1035" spans="1:12" x14ac:dyDescent="0.3">
      <c r="A1035" t="s">
        <v>1043</v>
      </c>
      <c r="B1035" t="s">
        <v>70</v>
      </c>
      <c r="C1035" t="s">
        <v>10</v>
      </c>
      <c r="D1035" t="s">
        <v>68</v>
      </c>
      <c r="E1035">
        <v>1020</v>
      </c>
      <c r="F1035" t="s">
        <v>21</v>
      </c>
      <c r="G1035">
        <v>111</v>
      </c>
      <c r="H1035">
        <v>473</v>
      </c>
      <c r="I1035" t="str">
        <f>_xlfn.XLOOKUP($C1035,dim_campaigns!$D$2:$D$3,dim_campaigns!$A$2:$A$3,"",0)</f>
        <v>Sankranti</v>
      </c>
      <c r="J1035" s="6">
        <f t="shared" si="32"/>
        <v>3.2612612612612613</v>
      </c>
      <c r="K1035">
        <f t="shared" si="33"/>
        <v>354450</v>
      </c>
      <c r="L1035" t="str">
        <f>VLOOKUP($B1035,dim_stores!$A$1:$C$51,2,0)</f>
        <v>Chennai</v>
      </c>
    </row>
    <row r="1036" spans="1:12" x14ac:dyDescent="0.3">
      <c r="A1036" t="s">
        <v>1044</v>
      </c>
      <c r="B1036" t="s">
        <v>103</v>
      </c>
      <c r="C1036" t="s">
        <v>15</v>
      </c>
      <c r="D1036" t="s">
        <v>35</v>
      </c>
      <c r="E1036">
        <v>350</v>
      </c>
      <c r="F1036" t="s">
        <v>21</v>
      </c>
      <c r="G1036">
        <v>91</v>
      </c>
      <c r="H1036">
        <v>281</v>
      </c>
      <c r="I1036" t="str">
        <f>_xlfn.XLOOKUP($C1036,dim_campaigns!$D$2:$D$3,dim_campaigns!$A$2:$A$3,"",0)</f>
        <v>Diwali</v>
      </c>
      <c r="J1036" s="6">
        <f t="shared" si="32"/>
        <v>2.087912087912088</v>
      </c>
      <c r="K1036">
        <f t="shared" si="33"/>
        <v>81025</v>
      </c>
      <c r="L1036" t="str">
        <f>VLOOKUP($B1036,dim_stores!$A$1:$C$51,2,0)</f>
        <v>Hyderabad</v>
      </c>
    </row>
    <row r="1037" spans="1:12" x14ac:dyDescent="0.3">
      <c r="A1037" t="s">
        <v>1045</v>
      </c>
      <c r="B1037" t="s">
        <v>78</v>
      </c>
      <c r="C1037" t="s">
        <v>15</v>
      </c>
      <c r="D1037" t="s">
        <v>53</v>
      </c>
      <c r="E1037">
        <v>860</v>
      </c>
      <c r="F1037" t="s">
        <v>54</v>
      </c>
      <c r="G1037">
        <v>465</v>
      </c>
      <c r="H1037">
        <v>674</v>
      </c>
      <c r="I1037" t="str">
        <f>_xlfn.XLOOKUP($C1037,dim_campaigns!$D$2:$D$3,dim_campaigns!$A$2:$A$3,"",0)</f>
        <v>Diwali</v>
      </c>
      <c r="J1037" s="6">
        <f t="shared" si="32"/>
        <v>0.44946236559139785</v>
      </c>
      <c r="K1037">
        <f t="shared" si="33"/>
        <v>788258.8</v>
      </c>
      <c r="L1037" t="str">
        <f>VLOOKUP($B1037,dim_stores!$A$1:$C$51,2,0)</f>
        <v>Mysuru</v>
      </c>
    </row>
    <row r="1038" spans="1:12" x14ac:dyDescent="0.3">
      <c r="A1038" t="s">
        <v>1046</v>
      </c>
      <c r="B1038" t="s">
        <v>113</v>
      </c>
      <c r="C1038" t="s">
        <v>10</v>
      </c>
      <c r="D1038" t="s">
        <v>53</v>
      </c>
      <c r="E1038">
        <v>860</v>
      </c>
      <c r="F1038" t="s">
        <v>54</v>
      </c>
      <c r="G1038">
        <v>468</v>
      </c>
      <c r="H1038">
        <v>599</v>
      </c>
      <c r="I1038" t="str">
        <f>_xlfn.XLOOKUP($C1038,dim_campaigns!$D$2:$D$3,dim_campaigns!$A$2:$A$3,"",0)</f>
        <v>Sankranti</v>
      </c>
      <c r="J1038" s="6">
        <f t="shared" si="32"/>
        <v>0.27991452991452992</v>
      </c>
      <c r="K1038">
        <f t="shared" si="33"/>
        <v>747623.8</v>
      </c>
      <c r="L1038" t="str">
        <f>VLOOKUP($B1038,dim_stores!$A$1:$C$51,2,0)</f>
        <v>Chennai</v>
      </c>
    </row>
    <row r="1039" spans="1:12" x14ac:dyDescent="0.3">
      <c r="A1039" t="s">
        <v>1047</v>
      </c>
      <c r="B1039" t="s">
        <v>119</v>
      </c>
      <c r="C1039" t="s">
        <v>10</v>
      </c>
      <c r="D1039" t="s">
        <v>61</v>
      </c>
      <c r="E1039">
        <v>172</v>
      </c>
      <c r="F1039" t="s">
        <v>54</v>
      </c>
      <c r="G1039">
        <v>310</v>
      </c>
      <c r="H1039">
        <v>421</v>
      </c>
      <c r="I1039" t="str">
        <f>_xlfn.XLOOKUP($C1039,dim_campaigns!$D$2:$D$3,dim_campaigns!$A$2:$A$3,"",0)</f>
        <v>Sankranti</v>
      </c>
      <c r="J1039" s="6">
        <f t="shared" si="32"/>
        <v>0.35806451612903228</v>
      </c>
      <c r="K1039">
        <f t="shared" si="33"/>
        <v>101836.04000000001</v>
      </c>
      <c r="L1039" t="str">
        <f>VLOOKUP($B1039,dim_stores!$A$1:$C$51,2,0)</f>
        <v>Chennai</v>
      </c>
    </row>
    <row r="1040" spans="1:12" x14ac:dyDescent="0.3">
      <c r="A1040" t="s">
        <v>1048</v>
      </c>
      <c r="B1040" t="s">
        <v>78</v>
      </c>
      <c r="C1040" t="s">
        <v>15</v>
      </c>
      <c r="D1040" t="s">
        <v>28</v>
      </c>
      <c r="E1040">
        <v>55</v>
      </c>
      <c r="F1040" t="s">
        <v>17</v>
      </c>
      <c r="G1040">
        <v>73</v>
      </c>
      <c r="H1040">
        <v>65</v>
      </c>
      <c r="I1040" t="str">
        <f>_xlfn.XLOOKUP($C1040,dim_campaigns!$D$2:$D$3,dim_campaigns!$A$2:$A$3,"",0)</f>
        <v>Diwali</v>
      </c>
      <c r="J1040" s="6">
        <f t="shared" si="32"/>
        <v>-0.1095890410958904</v>
      </c>
      <c r="K1040">
        <f t="shared" si="33"/>
        <v>6696.25</v>
      </c>
      <c r="L1040" t="str">
        <f>VLOOKUP($B1040,dim_stores!$A$1:$C$51,2,0)</f>
        <v>Mysuru</v>
      </c>
    </row>
    <row r="1041" spans="1:12" x14ac:dyDescent="0.3">
      <c r="A1041" t="s">
        <v>1049</v>
      </c>
      <c r="B1041" t="s">
        <v>161</v>
      </c>
      <c r="C1041" t="s">
        <v>10</v>
      </c>
      <c r="D1041" t="s">
        <v>35</v>
      </c>
      <c r="E1041">
        <v>350</v>
      </c>
      <c r="F1041" t="s">
        <v>21</v>
      </c>
      <c r="G1041">
        <v>106</v>
      </c>
      <c r="H1041">
        <v>454</v>
      </c>
      <c r="I1041" t="str">
        <f>_xlfn.XLOOKUP($C1041,dim_campaigns!$D$2:$D$3,dim_campaigns!$A$2:$A$3,"",0)</f>
        <v>Sankranti</v>
      </c>
      <c r="J1041" s="6">
        <f t="shared" si="32"/>
        <v>3.2830188679245285</v>
      </c>
      <c r="K1041">
        <f t="shared" si="33"/>
        <v>116550</v>
      </c>
      <c r="L1041" t="str">
        <f>VLOOKUP($B1041,dim_stores!$A$1:$C$51,2,0)</f>
        <v>Chennai</v>
      </c>
    </row>
    <row r="1042" spans="1:12" x14ac:dyDescent="0.3">
      <c r="A1042" t="s">
        <v>1050</v>
      </c>
      <c r="B1042" t="s">
        <v>193</v>
      </c>
      <c r="C1042" t="s">
        <v>15</v>
      </c>
      <c r="D1042" t="s">
        <v>53</v>
      </c>
      <c r="E1042">
        <v>860</v>
      </c>
      <c r="F1042" t="s">
        <v>54</v>
      </c>
      <c r="G1042">
        <v>390</v>
      </c>
      <c r="H1042">
        <v>585</v>
      </c>
      <c r="I1042" t="str">
        <f>_xlfn.XLOOKUP($C1042,dim_campaigns!$D$2:$D$3,dim_campaigns!$A$2:$A$3,"",0)</f>
        <v>Diwali</v>
      </c>
      <c r="J1042" s="6">
        <f t="shared" si="32"/>
        <v>0.5</v>
      </c>
      <c r="K1042">
        <f t="shared" si="33"/>
        <v>672477</v>
      </c>
      <c r="L1042" t="str">
        <f>VLOOKUP($B1042,dim_stores!$A$1:$C$51,2,0)</f>
        <v>Bengaluru</v>
      </c>
    </row>
    <row r="1043" spans="1:12" x14ac:dyDescent="0.3">
      <c r="A1043" t="s">
        <v>1051</v>
      </c>
      <c r="B1043" t="s">
        <v>9</v>
      </c>
      <c r="C1043" t="s">
        <v>10</v>
      </c>
      <c r="D1043" t="s">
        <v>85</v>
      </c>
      <c r="E1043">
        <v>90</v>
      </c>
      <c r="F1043" t="s">
        <v>17</v>
      </c>
      <c r="G1043">
        <v>42</v>
      </c>
      <c r="H1043">
        <v>34</v>
      </c>
      <c r="I1043" t="str">
        <f>_xlfn.XLOOKUP($C1043,dim_campaigns!$D$2:$D$3,dim_campaigns!$A$2:$A$3,"",0)</f>
        <v>Sankranti</v>
      </c>
      <c r="J1043" s="6">
        <f t="shared" si="32"/>
        <v>-0.19047619047619047</v>
      </c>
      <c r="K1043">
        <f t="shared" si="33"/>
        <v>6075</v>
      </c>
      <c r="L1043" t="str">
        <f>VLOOKUP($B1043,dim_stores!$A$1:$C$51,2,0)</f>
        <v>Coimbatore</v>
      </c>
    </row>
    <row r="1044" spans="1:12" x14ac:dyDescent="0.3">
      <c r="A1044" t="s">
        <v>1052</v>
      </c>
      <c r="B1044" t="s">
        <v>27</v>
      </c>
      <c r="C1044" t="s">
        <v>10</v>
      </c>
      <c r="D1044" t="s">
        <v>43</v>
      </c>
      <c r="E1044">
        <v>415</v>
      </c>
      <c r="F1044" t="s">
        <v>17</v>
      </c>
      <c r="G1044">
        <v>33</v>
      </c>
      <c r="H1044">
        <v>28</v>
      </c>
      <c r="I1044" t="str">
        <f>_xlfn.XLOOKUP($C1044,dim_campaigns!$D$2:$D$3,dim_campaigns!$A$2:$A$3,"",0)</f>
        <v>Sankranti</v>
      </c>
      <c r="J1044" s="6">
        <f t="shared" si="32"/>
        <v>-0.15151515151515152</v>
      </c>
      <c r="K1044">
        <f t="shared" si="33"/>
        <v>22410</v>
      </c>
      <c r="L1044" t="str">
        <f>VLOOKUP($B1044,dim_stores!$A$1:$C$51,2,0)</f>
        <v>Bengaluru</v>
      </c>
    </row>
    <row r="1045" spans="1:12" x14ac:dyDescent="0.3">
      <c r="A1045" s="1">
        <v>5.8000000000000002E+27</v>
      </c>
      <c r="B1045" t="s">
        <v>42</v>
      </c>
      <c r="C1045" t="s">
        <v>15</v>
      </c>
      <c r="D1045" t="s">
        <v>20</v>
      </c>
      <c r="E1045">
        <v>300</v>
      </c>
      <c r="F1045" t="s">
        <v>21</v>
      </c>
      <c r="G1045">
        <v>73</v>
      </c>
      <c r="H1045">
        <v>215</v>
      </c>
      <c r="I1045" t="str">
        <f>_xlfn.XLOOKUP($C1045,dim_campaigns!$D$2:$D$3,dim_campaigns!$A$2:$A$3,"",0)</f>
        <v>Diwali</v>
      </c>
      <c r="J1045" s="6">
        <f t="shared" si="32"/>
        <v>1.9452054794520548</v>
      </c>
      <c r="K1045">
        <f t="shared" si="33"/>
        <v>54150</v>
      </c>
      <c r="L1045" t="str">
        <f>VLOOKUP($B1045,dim_stores!$A$1:$C$51,2,0)</f>
        <v>Mysuru</v>
      </c>
    </row>
    <row r="1046" spans="1:12" x14ac:dyDescent="0.3">
      <c r="A1046" t="s">
        <v>1053</v>
      </c>
      <c r="B1046" t="s">
        <v>63</v>
      </c>
      <c r="C1046" t="s">
        <v>10</v>
      </c>
      <c r="D1046" t="s">
        <v>28</v>
      </c>
      <c r="E1046">
        <v>55</v>
      </c>
      <c r="F1046" t="s">
        <v>17</v>
      </c>
      <c r="G1046">
        <v>19</v>
      </c>
      <c r="H1046">
        <v>14</v>
      </c>
      <c r="I1046" t="str">
        <f>_xlfn.XLOOKUP($C1046,dim_campaigns!$D$2:$D$3,dim_campaigns!$A$2:$A$3,"",0)</f>
        <v>Sankranti</v>
      </c>
      <c r="J1046" s="6">
        <f t="shared" si="32"/>
        <v>-0.26315789473684209</v>
      </c>
      <c r="K1046">
        <f t="shared" si="33"/>
        <v>1622.5</v>
      </c>
      <c r="L1046" t="str">
        <f>VLOOKUP($B1046,dim_stores!$A$1:$C$51,2,0)</f>
        <v>Visakhapatnam</v>
      </c>
    </row>
    <row r="1047" spans="1:12" x14ac:dyDescent="0.3">
      <c r="A1047" t="s">
        <v>1054</v>
      </c>
      <c r="B1047" t="s">
        <v>50</v>
      </c>
      <c r="C1047" t="s">
        <v>10</v>
      </c>
      <c r="D1047" t="s">
        <v>11</v>
      </c>
      <c r="E1047">
        <v>190</v>
      </c>
      <c r="F1047" t="s">
        <v>12</v>
      </c>
      <c r="G1047">
        <v>43</v>
      </c>
      <c r="H1047">
        <v>62</v>
      </c>
      <c r="I1047" t="str">
        <f>_xlfn.XLOOKUP($C1047,dim_campaigns!$D$2:$D$3,dim_campaigns!$A$2:$A$3,"",0)</f>
        <v>Sankranti</v>
      </c>
      <c r="J1047" s="6">
        <f t="shared" si="32"/>
        <v>0.44186046511627908</v>
      </c>
      <c r="K1047">
        <f t="shared" si="33"/>
        <v>14060</v>
      </c>
      <c r="L1047" t="str">
        <f>VLOOKUP($B1047,dim_stores!$A$1:$C$51,2,0)</f>
        <v>Bengaluru</v>
      </c>
    </row>
    <row r="1048" spans="1:12" x14ac:dyDescent="0.3">
      <c r="A1048" t="s">
        <v>1055</v>
      </c>
      <c r="B1048" t="s">
        <v>91</v>
      </c>
      <c r="C1048" t="s">
        <v>10</v>
      </c>
      <c r="D1048" t="s">
        <v>85</v>
      </c>
      <c r="E1048">
        <v>90</v>
      </c>
      <c r="F1048" t="s">
        <v>17</v>
      </c>
      <c r="G1048">
        <v>49</v>
      </c>
      <c r="H1048">
        <v>37</v>
      </c>
      <c r="I1048" t="str">
        <f>_xlfn.XLOOKUP($C1048,dim_campaigns!$D$2:$D$3,dim_campaigns!$A$2:$A$3,"",0)</f>
        <v>Sankranti</v>
      </c>
      <c r="J1048" s="6">
        <f t="shared" si="32"/>
        <v>-0.24489795918367346</v>
      </c>
      <c r="K1048">
        <f t="shared" si="33"/>
        <v>6907.5</v>
      </c>
      <c r="L1048" t="str">
        <f>VLOOKUP($B1048,dim_stores!$A$1:$C$51,2,0)</f>
        <v>Hyderabad</v>
      </c>
    </row>
    <row r="1049" spans="1:12" x14ac:dyDescent="0.3">
      <c r="A1049" t="s">
        <v>1056</v>
      </c>
      <c r="B1049" t="s">
        <v>174</v>
      </c>
      <c r="C1049" t="s">
        <v>15</v>
      </c>
      <c r="D1049" t="s">
        <v>68</v>
      </c>
      <c r="E1049">
        <v>1020</v>
      </c>
      <c r="F1049" t="s">
        <v>21</v>
      </c>
      <c r="G1049">
        <v>19</v>
      </c>
      <c r="H1049">
        <v>66</v>
      </c>
      <c r="I1049" t="str">
        <f>_xlfn.XLOOKUP($C1049,dim_campaigns!$D$2:$D$3,dim_campaigns!$A$2:$A$3,"",0)</f>
        <v>Diwali</v>
      </c>
      <c r="J1049" s="6">
        <f t="shared" si="32"/>
        <v>2.4736842105263159</v>
      </c>
      <c r="K1049">
        <f t="shared" si="33"/>
        <v>53040</v>
      </c>
      <c r="L1049" t="str">
        <f>VLOOKUP($B1049,dim_stores!$A$1:$C$51,2,0)</f>
        <v>Trivandrum</v>
      </c>
    </row>
    <row r="1050" spans="1:12" x14ac:dyDescent="0.3">
      <c r="A1050" t="s">
        <v>1057</v>
      </c>
      <c r="B1050" t="s">
        <v>47</v>
      </c>
      <c r="C1050" t="s">
        <v>15</v>
      </c>
      <c r="D1050" t="s">
        <v>51</v>
      </c>
      <c r="E1050">
        <v>290</v>
      </c>
      <c r="F1050" t="s">
        <v>17</v>
      </c>
      <c r="G1050">
        <v>346</v>
      </c>
      <c r="H1050">
        <v>269</v>
      </c>
      <c r="I1050" t="str">
        <f>_xlfn.XLOOKUP($C1050,dim_campaigns!$D$2:$D$3,dim_campaigns!$A$2:$A$3,"",0)</f>
        <v>Diwali</v>
      </c>
      <c r="J1050" s="6">
        <f t="shared" si="32"/>
        <v>-0.22254335260115607</v>
      </c>
      <c r="K1050">
        <f t="shared" si="33"/>
        <v>158847.5</v>
      </c>
      <c r="L1050" t="str">
        <f>VLOOKUP($B1050,dim_stores!$A$1:$C$51,2,0)</f>
        <v>Chennai</v>
      </c>
    </row>
    <row r="1051" spans="1:12" x14ac:dyDescent="0.3">
      <c r="A1051" t="s">
        <v>1058</v>
      </c>
      <c r="B1051" t="s">
        <v>81</v>
      </c>
      <c r="C1051" t="s">
        <v>10</v>
      </c>
      <c r="D1051" t="s">
        <v>28</v>
      </c>
      <c r="E1051">
        <v>55</v>
      </c>
      <c r="F1051" t="s">
        <v>17</v>
      </c>
      <c r="G1051">
        <v>15</v>
      </c>
      <c r="H1051">
        <v>12</v>
      </c>
      <c r="I1051" t="str">
        <f>_xlfn.XLOOKUP($C1051,dim_campaigns!$D$2:$D$3,dim_campaigns!$A$2:$A$3,"",0)</f>
        <v>Sankranti</v>
      </c>
      <c r="J1051" s="6">
        <f t="shared" si="32"/>
        <v>-0.2</v>
      </c>
      <c r="K1051">
        <f t="shared" si="33"/>
        <v>1320</v>
      </c>
      <c r="L1051" t="str">
        <f>VLOOKUP($B1051,dim_stores!$A$1:$C$51,2,0)</f>
        <v>Madurai</v>
      </c>
    </row>
    <row r="1052" spans="1:12" x14ac:dyDescent="0.3">
      <c r="A1052" t="s">
        <v>1059</v>
      </c>
      <c r="B1052" t="s">
        <v>75</v>
      </c>
      <c r="C1052" t="s">
        <v>15</v>
      </c>
      <c r="D1052" t="s">
        <v>11</v>
      </c>
      <c r="E1052">
        <v>190</v>
      </c>
      <c r="F1052" t="s">
        <v>12</v>
      </c>
      <c r="G1052">
        <v>66</v>
      </c>
      <c r="H1052">
        <v>71</v>
      </c>
      <c r="I1052" t="str">
        <f>_xlfn.XLOOKUP($C1052,dim_campaigns!$D$2:$D$3,dim_campaigns!$A$2:$A$3,"",0)</f>
        <v>Diwali</v>
      </c>
      <c r="J1052" s="6">
        <f t="shared" si="32"/>
        <v>7.575757575757576E-2</v>
      </c>
      <c r="K1052">
        <f t="shared" si="33"/>
        <v>19285</v>
      </c>
      <c r="L1052" t="str">
        <f>VLOOKUP($B1052,dim_stores!$A$1:$C$51,2,0)</f>
        <v>Madurai</v>
      </c>
    </row>
    <row r="1053" spans="1:12" x14ac:dyDescent="0.3">
      <c r="A1053">
        <v>91649</v>
      </c>
      <c r="B1053" t="s">
        <v>142</v>
      </c>
      <c r="C1053" t="s">
        <v>10</v>
      </c>
      <c r="D1053" t="s">
        <v>35</v>
      </c>
      <c r="E1053">
        <v>350</v>
      </c>
      <c r="F1053" t="s">
        <v>21</v>
      </c>
      <c r="G1053">
        <v>73</v>
      </c>
      <c r="H1053">
        <v>287</v>
      </c>
      <c r="I1053" t="str">
        <f>_xlfn.XLOOKUP($C1053,dim_campaigns!$D$2:$D$3,dim_campaigns!$A$2:$A$3,"",0)</f>
        <v>Sankranti</v>
      </c>
      <c r="J1053" s="6">
        <f t="shared" si="32"/>
        <v>2.9315068493150687</v>
      </c>
      <c r="K1053">
        <f t="shared" si="33"/>
        <v>75775</v>
      </c>
      <c r="L1053" t="str">
        <f>VLOOKUP($B1053,dim_stores!$A$1:$C$51,2,0)</f>
        <v>Madurai</v>
      </c>
    </row>
    <row r="1054" spans="1:12" x14ac:dyDescent="0.3">
      <c r="A1054" t="s">
        <v>1060</v>
      </c>
      <c r="B1054" t="s">
        <v>115</v>
      </c>
      <c r="C1054" t="s">
        <v>10</v>
      </c>
      <c r="D1054" t="s">
        <v>51</v>
      </c>
      <c r="E1054">
        <v>370</v>
      </c>
      <c r="F1054" t="s">
        <v>21</v>
      </c>
      <c r="G1054">
        <v>387</v>
      </c>
      <c r="H1054">
        <v>1509</v>
      </c>
      <c r="I1054" t="str">
        <f>_xlfn.XLOOKUP($C1054,dim_campaigns!$D$2:$D$3,dim_campaigns!$A$2:$A$3,"",0)</f>
        <v>Sankranti</v>
      </c>
      <c r="J1054" s="6">
        <f t="shared" si="32"/>
        <v>2.8992248062015502</v>
      </c>
      <c r="K1054">
        <f t="shared" si="33"/>
        <v>422355</v>
      </c>
      <c r="L1054" t="str">
        <f>VLOOKUP($B1054,dim_stores!$A$1:$C$51,2,0)</f>
        <v>Bengaluru</v>
      </c>
    </row>
    <row r="1055" spans="1:12" x14ac:dyDescent="0.3">
      <c r="A1055">
        <v>788131</v>
      </c>
      <c r="B1055" t="s">
        <v>50</v>
      </c>
      <c r="C1055" t="s">
        <v>15</v>
      </c>
      <c r="D1055" t="s">
        <v>32</v>
      </c>
      <c r="E1055">
        <v>65</v>
      </c>
      <c r="F1055" t="s">
        <v>12</v>
      </c>
      <c r="G1055">
        <v>108</v>
      </c>
      <c r="H1055">
        <v>145</v>
      </c>
      <c r="I1055" t="str">
        <f>_xlfn.XLOOKUP($C1055,dim_campaigns!$D$2:$D$3,dim_campaigns!$A$2:$A$3,"",0)</f>
        <v>Diwali</v>
      </c>
      <c r="J1055" s="6">
        <f t="shared" si="32"/>
        <v>0.34259259259259262</v>
      </c>
      <c r="K1055">
        <f t="shared" si="33"/>
        <v>11732.5</v>
      </c>
      <c r="L1055" t="str">
        <f>VLOOKUP($B1055,dim_stores!$A$1:$C$51,2,0)</f>
        <v>Bengaluru</v>
      </c>
    </row>
    <row r="1056" spans="1:12" x14ac:dyDescent="0.3">
      <c r="A1056" t="s">
        <v>1061</v>
      </c>
      <c r="B1056" t="s">
        <v>52</v>
      </c>
      <c r="C1056" t="s">
        <v>15</v>
      </c>
      <c r="D1056" t="s">
        <v>32</v>
      </c>
      <c r="E1056">
        <v>65</v>
      </c>
      <c r="F1056" t="s">
        <v>12</v>
      </c>
      <c r="G1056">
        <v>80</v>
      </c>
      <c r="H1056">
        <v>109</v>
      </c>
      <c r="I1056" t="str">
        <f>_xlfn.XLOOKUP($C1056,dim_campaigns!$D$2:$D$3,dim_campaigns!$A$2:$A$3,"",0)</f>
        <v>Diwali</v>
      </c>
      <c r="J1056" s="6">
        <f t="shared" si="32"/>
        <v>0.36249999999999999</v>
      </c>
      <c r="K1056">
        <f t="shared" si="33"/>
        <v>8742.5</v>
      </c>
      <c r="L1056" t="str">
        <f>VLOOKUP($B1056,dim_stores!$A$1:$C$51,2,0)</f>
        <v>Visakhapatnam</v>
      </c>
    </row>
    <row r="1057" spans="1:12" x14ac:dyDescent="0.3">
      <c r="A1057" t="s">
        <v>1062</v>
      </c>
      <c r="B1057" t="s">
        <v>27</v>
      </c>
      <c r="C1057" t="s">
        <v>10</v>
      </c>
      <c r="D1057" t="s">
        <v>85</v>
      </c>
      <c r="E1057">
        <v>90</v>
      </c>
      <c r="F1057" t="s">
        <v>17</v>
      </c>
      <c r="G1057">
        <v>63</v>
      </c>
      <c r="H1057">
        <v>51</v>
      </c>
      <c r="I1057" t="str">
        <f>_xlfn.XLOOKUP($C1057,dim_campaigns!$D$2:$D$3,dim_campaigns!$A$2:$A$3,"",0)</f>
        <v>Sankranti</v>
      </c>
      <c r="J1057" s="6">
        <f t="shared" si="32"/>
        <v>-0.19047619047619047</v>
      </c>
      <c r="K1057">
        <f t="shared" si="33"/>
        <v>9112.5</v>
      </c>
      <c r="L1057" t="str">
        <f>VLOOKUP($B1057,dim_stores!$A$1:$C$51,2,0)</f>
        <v>Bengaluru</v>
      </c>
    </row>
    <row r="1058" spans="1:12" x14ac:dyDescent="0.3">
      <c r="A1058" t="s">
        <v>1063</v>
      </c>
      <c r="B1058" t="s">
        <v>99</v>
      </c>
      <c r="C1058" t="s">
        <v>10</v>
      </c>
      <c r="D1058" t="s">
        <v>68</v>
      </c>
      <c r="E1058">
        <v>1020</v>
      </c>
      <c r="F1058" t="s">
        <v>21</v>
      </c>
      <c r="G1058">
        <v>75</v>
      </c>
      <c r="H1058">
        <v>297</v>
      </c>
      <c r="I1058" t="str">
        <f>_xlfn.XLOOKUP($C1058,dim_campaigns!$D$2:$D$3,dim_campaigns!$A$2:$A$3,"",0)</f>
        <v>Sankranti</v>
      </c>
      <c r="J1058" s="6">
        <f t="shared" si="32"/>
        <v>2.96</v>
      </c>
      <c r="K1058">
        <f t="shared" si="33"/>
        <v>227970</v>
      </c>
      <c r="L1058" t="str">
        <f>VLOOKUP($B1058,dim_stores!$A$1:$C$51,2,0)</f>
        <v>Coimbatore</v>
      </c>
    </row>
    <row r="1059" spans="1:12" x14ac:dyDescent="0.3">
      <c r="A1059" t="s">
        <v>1064</v>
      </c>
      <c r="B1059" t="s">
        <v>63</v>
      </c>
      <c r="C1059" t="s">
        <v>10</v>
      </c>
      <c r="D1059" t="s">
        <v>24</v>
      </c>
      <c r="E1059">
        <v>3000</v>
      </c>
      <c r="F1059" t="s">
        <v>25</v>
      </c>
      <c r="G1059">
        <v>88</v>
      </c>
      <c r="H1059">
        <v>186</v>
      </c>
      <c r="I1059" t="str">
        <f>_xlfn.XLOOKUP($C1059,dim_campaigns!$D$2:$D$3,dim_campaigns!$A$2:$A$3,"",0)</f>
        <v>Sankranti</v>
      </c>
      <c r="J1059" s="6">
        <f t="shared" si="32"/>
        <v>1.1136363636363635</v>
      </c>
      <c r="K1059">
        <f t="shared" si="33"/>
        <v>729000</v>
      </c>
      <c r="L1059" t="str">
        <f>VLOOKUP($B1059,dim_stores!$A$1:$C$51,2,0)</f>
        <v>Visakhapatnam</v>
      </c>
    </row>
    <row r="1060" spans="1:12" x14ac:dyDescent="0.3">
      <c r="A1060" t="s">
        <v>1065</v>
      </c>
      <c r="B1060" t="s">
        <v>139</v>
      </c>
      <c r="C1060" t="s">
        <v>15</v>
      </c>
      <c r="D1060" t="s">
        <v>11</v>
      </c>
      <c r="E1060">
        <v>190</v>
      </c>
      <c r="F1060" t="s">
        <v>12</v>
      </c>
      <c r="G1060">
        <v>52</v>
      </c>
      <c r="H1060">
        <v>57</v>
      </c>
      <c r="I1060" t="str">
        <f>_xlfn.XLOOKUP($C1060,dim_campaigns!$D$2:$D$3,dim_campaigns!$A$2:$A$3,"",0)</f>
        <v>Diwali</v>
      </c>
      <c r="J1060" s="6">
        <f t="shared" si="32"/>
        <v>9.6153846153846159E-2</v>
      </c>
      <c r="K1060">
        <f t="shared" si="33"/>
        <v>15295</v>
      </c>
      <c r="L1060" t="str">
        <f>VLOOKUP($B1060,dim_stores!$A$1:$C$51,2,0)</f>
        <v>Visakhapatnam</v>
      </c>
    </row>
    <row r="1061" spans="1:12" x14ac:dyDescent="0.3">
      <c r="A1061" t="s">
        <v>1066</v>
      </c>
      <c r="B1061" t="s">
        <v>89</v>
      </c>
      <c r="C1061" t="s">
        <v>15</v>
      </c>
      <c r="D1061" t="s">
        <v>20</v>
      </c>
      <c r="E1061">
        <v>300</v>
      </c>
      <c r="F1061" t="s">
        <v>21</v>
      </c>
      <c r="G1061">
        <v>33</v>
      </c>
      <c r="H1061">
        <v>109</v>
      </c>
      <c r="I1061" t="str">
        <f>_xlfn.XLOOKUP($C1061,dim_campaigns!$D$2:$D$3,dim_campaigns!$A$2:$A$3,"",0)</f>
        <v>Diwali</v>
      </c>
      <c r="J1061" s="6">
        <f t="shared" si="32"/>
        <v>2.3030303030303032</v>
      </c>
      <c r="K1061">
        <f t="shared" si="33"/>
        <v>26250</v>
      </c>
      <c r="L1061" t="str">
        <f>VLOOKUP($B1061,dim_stores!$A$1:$C$51,2,0)</f>
        <v>Vijayawada</v>
      </c>
    </row>
    <row r="1062" spans="1:12" x14ac:dyDescent="0.3">
      <c r="A1062" t="s">
        <v>1067</v>
      </c>
      <c r="B1062" t="s">
        <v>115</v>
      </c>
      <c r="C1062" t="s">
        <v>10</v>
      </c>
      <c r="D1062" t="s">
        <v>35</v>
      </c>
      <c r="E1062">
        <v>350</v>
      </c>
      <c r="F1062" t="s">
        <v>21</v>
      </c>
      <c r="G1062">
        <v>114</v>
      </c>
      <c r="H1062">
        <v>457</v>
      </c>
      <c r="I1062" t="str">
        <f>_xlfn.XLOOKUP($C1062,dim_campaigns!$D$2:$D$3,dim_campaigns!$A$2:$A$3,"",0)</f>
        <v>Sankranti</v>
      </c>
      <c r="J1062" s="6">
        <f t="shared" si="32"/>
        <v>3.0087719298245612</v>
      </c>
      <c r="K1062">
        <f t="shared" si="33"/>
        <v>119875</v>
      </c>
      <c r="L1062" t="str">
        <f>VLOOKUP($B1062,dim_stores!$A$1:$C$51,2,0)</f>
        <v>Bengaluru</v>
      </c>
    </row>
    <row r="1063" spans="1:12" x14ac:dyDescent="0.3">
      <c r="A1063" t="s">
        <v>1068</v>
      </c>
      <c r="B1063" t="s">
        <v>56</v>
      </c>
      <c r="C1063" t="s">
        <v>15</v>
      </c>
      <c r="D1063" t="s">
        <v>32</v>
      </c>
      <c r="E1063">
        <v>65</v>
      </c>
      <c r="F1063" t="s">
        <v>12</v>
      </c>
      <c r="G1063">
        <v>124</v>
      </c>
      <c r="H1063">
        <v>135</v>
      </c>
      <c r="I1063" t="str">
        <f>_xlfn.XLOOKUP($C1063,dim_campaigns!$D$2:$D$3,dim_campaigns!$A$2:$A$3,"",0)</f>
        <v>Diwali</v>
      </c>
      <c r="J1063" s="6">
        <f t="shared" si="32"/>
        <v>8.8709677419354843E-2</v>
      </c>
      <c r="K1063">
        <f t="shared" si="33"/>
        <v>12447.5</v>
      </c>
      <c r="L1063" t="str">
        <f>VLOOKUP($B1063,dim_stores!$A$1:$C$51,2,0)</f>
        <v>Chennai</v>
      </c>
    </row>
    <row r="1064" spans="1:12" x14ac:dyDescent="0.3">
      <c r="A1064" t="s">
        <v>1069</v>
      </c>
      <c r="B1064" t="s">
        <v>78</v>
      </c>
      <c r="C1064" t="s">
        <v>10</v>
      </c>
      <c r="D1064" t="s">
        <v>11</v>
      </c>
      <c r="E1064">
        <v>190</v>
      </c>
      <c r="F1064" t="s">
        <v>12</v>
      </c>
      <c r="G1064">
        <v>46</v>
      </c>
      <c r="H1064">
        <v>63</v>
      </c>
      <c r="I1064" t="str">
        <f>_xlfn.XLOOKUP($C1064,dim_campaigns!$D$2:$D$3,dim_campaigns!$A$2:$A$3,"",0)</f>
        <v>Sankranti</v>
      </c>
      <c r="J1064" s="6">
        <f t="shared" si="32"/>
        <v>0.36956521739130432</v>
      </c>
      <c r="K1064">
        <f t="shared" si="33"/>
        <v>14725</v>
      </c>
      <c r="L1064" t="str">
        <f>VLOOKUP($B1064,dim_stores!$A$1:$C$51,2,0)</f>
        <v>Mysuru</v>
      </c>
    </row>
    <row r="1065" spans="1:12" x14ac:dyDescent="0.3">
      <c r="A1065" t="s">
        <v>1070</v>
      </c>
      <c r="B1065" t="s">
        <v>126</v>
      </c>
      <c r="C1065" t="s">
        <v>10</v>
      </c>
      <c r="D1065" t="s">
        <v>85</v>
      </c>
      <c r="E1065">
        <v>90</v>
      </c>
      <c r="F1065" t="s">
        <v>17</v>
      </c>
      <c r="G1065">
        <v>34</v>
      </c>
      <c r="H1065">
        <v>28</v>
      </c>
      <c r="I1065" t="str">
        <f>_xlfn.XLOOKUP($C1065,dim_campaigns!$D$2:$D$3,dim_campaigns!$A$2:$A$3,"",0)</f>
        <v>Sankranti</v>
      </c>
      <c r="J1065" s="6">
        <f t="shared" si="32"/>
        <v>-0.17647058823529413</v>
      </c>
      <c r="K1065">
        <f t="shared" si="33"/>
        <v>4950</v>
      </c>
      <c r="L1065" t="str">
        <f>VLOOKUP($B1065,dim_stores!$A$1:$C$51,2,0)</f>
        <v>Mangalore</v>
      </c>
    </row>
    <row r="1066" spans="1:12" x14ac:dyDescent="0.3">
      <c r="A1066" s="1">
        <v>6.5900000000000004E+23</v>
      </c>
      <c r="B1066" t="s">
        <v>19</v>
      </c>
      <c r="C1066" t="s">
        <v>10</v>
      </c>
      <c r="D1066" t="s">
        <v>61</v>
      </c>
      <c r="E1066">
        <v>172</v>
      </c>
      <c r="F1066" t="s">
        <v>54</v>
      </c>
      <c r="G1066">
        <v>186</v>
      </c>
      <c r="H1066">
        <v>252</v>
      </c>
      <c r="I1066" t="str">
        <f>_xlfn.XLOOKUP($C1066,dim_campaigns!$D$2:$D$3,dim_campaigns!$A$2:$A$3,"",0)</f>
        <v>Sankranti</v>
      </c>
      <c r="J1066" s="6">
        <f t="shared" si="32"/>
        <v>0.35483870967741937</v>
      </c>
      <c r="K1066">
        <f t="shared" si="33"/>
        <v>61032.479999999996</v>
      </c>
      <c r="L1066" t="str">
        <f>VLOOKUP($B1066,dim_stores!$A$1:$C$51,2,0)</f>
        <v>Vijayawada</v>
      </c>
    </row>
    <row r="1067" spans="1:12" x14ac:dyDescent="0.3">
      <c r="A1067" t="s">
        <v>1071</v>
      </c>
      <c r="B1067" t="s">
        <v>119</v>
      </c>
      <c r="C1067" t="s">
        <v>10</v>
      </c>
      <c r="D1067" t="s">
        <v>20</v>
      </c>
      <c r="E1067">
        <v>300</v>
      </c>
      <c r="F1067" t="s">
        <v>21</v>
      </c>
      <c r="G1067">
        <v>37</v>
      </c>
      <c r="H1067">
        <v>155</v>
      </c>
      <c r="I1067" t="str">
        <f>_xlfn.XLOOKUP($C1067,dim_campaigns!$D$2:$D$3,dim_campaigns!$A$2:$A$3,"",0)</f>
        <v>Sankranti</v>
      </c>
      <c r="J1067" s="6">
        <f t="shared" si="32"/>
        <v>3.189189189189189</v>
      </c>
      <c r="K1067">
        <f t="shared" si="33"/>
        <v>34350</v>
      </c>
      <c r="L1067" t="str">
        <f>VLOOKUP($B1067,dim_stores!$A$1:$C$51,2,0)</f>
        <v>Chennai</v>
      </c>
    </row>
    <row r="1068" spans="1:12" x14ac:dyDescent="0.3">
      <c r="A1068" t="s">
        <v>1072</v>
      </c>
      <c r="B1068" t="s">
        <v>40</v>
      </c>
      <c r="C1068" t="s">
        <v>15</v>
      </c>
      <c r="D1068" t="s">
        <v>38</v>
      </c>
      <c r="E1068">
        <v>1190</v>
      </c>
      <c r="F1068" t="s">
        <v>21</v>
      </c>
      <c r="G1068">
        <v>40</v>
      </c>
      <c r="H1068">
        <v>133</v>
      </c>
      <c r="I1068" t="str">
        <f>_xlfn.XLOOKUP($C1068,dim_campaigns!$D$2:$D$3,dim_campaigns!$A$2:$A$3,"",0)</f>
        <v>Diwali</v>
      </c>
      <c r="J1068" s="6">
        <f t="shared" si="32"/>
        <v>2.3250000000000002</v>
      </c>
      <c r="K1068">
        <f t="shared" si="33"/>
        <v>126735</v>
      </c>
      <c r="L1068" t="str">
        <f>VLOOKUP($B1068,dim_stores!$A$1:$C$51,2,0)</f>
        <v>Madurai</v>
      </c>
    </row>
    <row r="1069" spans="1:12" x14ac:dyDescent="0.3">
      <c r="A1069" t="s">
        <v>1073</v>
      </c>
      <c r="B1069" t="s">
        <v>50</v>
      </c>
      <c r="C1069" t="s">
        <v>15</v>
      </c>
      <c r="D1069" t="s">
        <v>11</v>
      </c>
      <c r="E1069">
        <v>190</v>
      </c>
      <c r="F1069" t="s">
        <v>12</v>
      </c>
      <c r="G1069">
        <v>71</v>
      </c>
      <c r="H1069">
        <v>90</v>
      </c>
      <c r="I1069" t="str">
        <f>_xlfn.XLOOKUP($C1069,dim_campaigns!$D$2:$D$3,dim_campaigns!$A$2:$A$3,"",0)</f>
        <v>Diwali</v>
      </c>
      <c r="J1069" s="6">
        <f t="shared" si="32"/>
        <v>0.26760563380281688</v>
      </c>
      <c r="K1069">
        <f t="shared" si="33"/>
        <v>22040</v>
      </c>
      <c r="L1069" t="str">
        <f>VLOOKUP($B1069,dim_stores!$A$1:$C$51,2,0)</f>
        <v>Bengaluru</v>
      </c>
    </row>
    <row r="1070" spans="1:12" x14ac:dyDescent="0.3">
      <c r="A1070" t="s">
        <v>1074</v>
      </c>
      <c r="B1070" t="s">
        <v>96</v>
      </c>
      <c r="C1070" t="s">
        <v>15</v>
      </c>
      <c r="D1070" t="s">
        <v>11</v>
      </c>
      <c r="E1070">
        <v>190</v>
      </c>
      <c r="F1070" t="s">
        <v>12</v>
      </c>
      <c r="G1070">
        <v>71</v>
      </c>
      <c r="H1070">
        <v>76</v>
      </c>
      <c r="I1070" t="str">
        <f>_xlfn.XLOOKUP($C1070,dim_campaigns!$D$2:$D$3,dim_campaigns!$A$2:$A$3,"",0)</f>
        <v>Diwali</v>
      </c>
      <c r="J1070" s="6">
        <f t="shared" si="32"/>
        <v>7.0422535211267609E-2</v>
      </c>
      <c r="K1070">
        <f t="shared" si="33"/>
        <v>20710</v>
      </c>
      <c r="L1070" t="str">
        <f>VLOOKUP($B1070,dim_stores!$A$1:$C$51,2,0)</f>
        <v>Mysuru</v>
      </c>
    </row>
    <row r="1071" spans="1:12" x14ac:dyDescent="0.3">
      <c r="A1071" t="s">
        <v>1075</v>
      </c>
      <c r="B1071" t="s">
        <v>29</v>
      </c>
      <c r="C1071" t="s">
        <v>15</v>
      </c>
      <c r="D1071" t="s">
        <v>48</v>
      </c>
      <c r="E1071">
        <v>62</v>
      </c>
      <c r="F1071" t="s">
        <v>12</v>
      </c>
      <c r="G1071">
        <v>141</v>
      </c>
      <c r="H1071">
        <v>180</v>
      </c>
      <c r="I1071" t="str">
        <f>_xlfn.XLOOKUP($C1071,dim_campaigns!$D$2:$D$3,dim_campaigns!$A$2:$A$3,"",0)</f>
        <v>Diwali</v>
      </c>
      <c r="J1071" s="6">
        <f t="shared" si="32"/>
        <v>0.27659574468085107</v>
      </c>
      <c r="K1071">
        <f t="shared" si="33"/>
        <v>14322</v>
      </c>
      <c r="L1071" t="str">
        <f>VLOOKUP($B1071,dim_stores!$A$1:$C$51,2,0)</f>
        <v>Bengaluru</v>
      </c>
    </row>
    <row r="1072" spans="1:12" x14ac:dyDescent="0.3">
      <c r="A1072" t="s">
        <v>1076</v>
      </c>
      <c r="B1072" t="s">
        <v>50</v>
      </c>
      <c r="C1072" t="s">
        <v>15</v>
      </c>
      <c r="D1072" t="s">
        <v>35</v>
      </c>
      <c r="E1072">
        <v>350</v>
      </c>
      <c r="F1072" t="s">
        <v>21</v>
      </c>
      <c r="G1072">
        <v>87</v>
      </c>
      <c r="H1072">
        <v>298</v>
      </c>
      <c r="I1072" t="str">
        <f>_xlfn.XLOOKUP($C1072,dim_campaigns!$D$2:$D$3,dim_campaigns!$A$2:$A$3,"",0)</f>
        <v>Diwali</v>
      </c>
      <c r="J1072" s="6">
        <f t="shared" si="32"/>
        <v>2.4252873563218391</v>
      </c>
      <c r="K1072">
        <f t="shared" si="33"/>
        <v>82600</v>
      </c>
      <c r="L1072" t="str">
        <f>VLOOKUP($B1072,dim_stores!$A$1:$C$51,2,0)</f>
        <v>Bengaluru</v>
      </c>
    </row>
    <row r="1073" spans="1:12" x14ac:dyDescent="0.3">
      <c r="A1073" t="s">
        <v>1077</v>
      </c>
      <c r="B1073" t="s">
        <v>193</v>
      </c>
      <c r="C1073" t="s">
        <v>10</v>
      </c>
      <c r="D1073" t="s">
        <v>32</v>
      </c>
      <c r="E1073">
        <v>50</v>
      </c>
      <c r="F1073" t="s">
        <v>17</v>
      </c>
      <c r="G1073">
        <v>37</v>
      </c>
      <c r="H1073">
        <v>31</v>
      </c>
      <c r="I1073" t="str">
        <f>_xlfn.XLOOKUP($C1073,dim_campaigns!$D$2:$D$3,dim_campaigns!$A$2:$A$3,"",0)</f>
        <v>Sankranti</v>
      </c>
      <c r="J1073" s="6">
        <f t="shared" si="32"/>
        <v>-0.16216216216216217</v>
      </c>
      <c r="K1073">
        <f t="shared" si="33"/>
        <v>3012.5</v>
      </c>
      <c r="L1073" t="str">
        <f>VLOOKUP($B1073,dim_stores!$A$1:$C$51,2,0)</f>
        <v>Bengaluru</v>
      </c>
    </row>
    <row r="1074" spans="1:12" x14ac:dyDescent="0.3">
      <c r="A1074" t="s">
        <v>1078</v>
      </c>
      <c r="B1074" t="s">
        <v>91</v>
      </c>
      <c r="C1074" t="s">
        <v>15</v>
      </c>
      <c r="D1074" t="s">
        <v>68</v>
      </c>
      <c r="E1074">
        <v>1020</v>
      </c>
      <c r="F1074" t="s">
        <v>21</v>
      </c>
      <c r="G1074">
        <v>38</v>
      </c>
      <c r="H1074">
        <v>119</v>
      </c>
      <c r="I1074" t="str">
        <f>_xlfn.XLOOKUP($C1074,dim_campaigns!$D$2:$D$3,dim_campaigns!$A$2:$A$3,"",0)</f>
        <v>Diwali</v>
      </c>
      <c r="J1074" s="6">
        <f t="shared" si="32"/>
        <v>2.1315789473684212</v>
      </c>
      <c r="K1074">
        <f t="shared" si="33"/>
        <v>99450</v>
      </c>
      <c r="L1074" t="str">
        <f>VLOOKUP($B1074,dim_stores!$A$1:$C$51,2,0)</f>
        <v>Hyderabad</v>
      </c>
    </row>
    <row r="1075" spans="1:12" x14ac:dyDescent="0.3">
      <c r="A1075" t="s">
        <v>1079</v>
      </c>
      <c r="B1075" t="s">
        <v>42</v>
      </c>
      <c r="C1075" t="s">
        <v>15</v>
      </c>
      <c r="D1075" t="s">
        <v>61</v>
      </c>
      <c r="E1075">
        <v>172</v>
      </c>
      <c r="F1075" t="s">
        <v>54</v>
      </c>
      <c r="G1075">
        <v>295</v>
      </c>
      <c r="H1075">
        <v>454</v>
      </c>
      <c r="I1075" t="str">
        <f>_xlfn.XLOOKUP($C1075,dim_campaigns!$D$2:$D$3,dim_campaigns!$A$2:$A$3,"",0)</f>
        <v>Diwali</v>
      </c>
      <c r="J1075" s="6">
        <f t="shared" si="32"/>
        <v>0.53898305084745768</v>
      </c>
      <c r="K1075">
        <f t="shared" si="33"/>
        <v>103058.95999999999</v>
      </c>
      <c r="L1075" t="str">
        <f>VLOOKUP($B1075,dim_stores!$A$1:$C$51,2,0)</f>
        <v>Mysuru</v>
      </c>
    </row>
    <row r="1076" spans="1:12" x14ac:dyDescent="0.3">
      <c r="A1076" t="s">
        <v>1080</v>
      </c>
      <c r="B1076" t="s">
        <v>56</v>
      </c>
      <c r="C1076" t="s">
        <v>15</v>
      </c>
      <c r="D1076" t="s">
        <v>16</v>
      </c>
      <c r="E1076">
        <v>156</v>
      </c>
      <c r="F1076" t="s">
        <v>17</v>
      </c>
      <c r="G1076">
        <v>355</v>
      </c>
      <c r="H1076">
        <v>347</v>
      </c>
      <c r="I1076" t="str">
        <f>_xlfn.XLOOKUP($C1076,dim_campaigns!$D$2:$D$3,dim_campaigns!$A$2:$A$3,"",0)</f>
        <v>Diwali</v>
      </c>
      <c r="J1076" s="6">
        <f t="shared" si="32"/>
        <v>-2.2535211267605635E-2</v>
      </c>
      <c r="K1076">
        <f t="shared" si="33"/>
        <v>95979</v>
      </c>
      <c r="L1076" t="str">
        <f>VLOOKUP($B1076,dim_stores!$A$1:$C$51,2,0)</f>
        <v>Chennai</v>
      </c>
    </row>
    <row r="1077" spans="1:12" x14ac:dyDescent="0.3">
      <c r="A1077" t="s">
        <v>1081</v>
      </c>
      <c r="B1077" t="s">
        <v>161</v>
      </c>
      <c r="C1077" t="s">
        <v>15</v>
      </c>
      <c r="D1077" t="s">
        <v>48</v>
      </c>
      <c r="E1077">
        <v>62</v>
      </c>
      <c r="F1077" t="s">
        <v>12</v>
      </c>
      <c r="G1077">
        <v>171</v>
      </c>
      <c r="H1077">
        <v>222</v>
      </c>
      <c r="I1077" t="str">
        <f>_xlfn.XLOOKUP($C1077,dim_campaigns!$D$2:$D$3,dim_campaigns!$A$2:$A$3,"",0)</f>
        <v>Diwali</v>
      </c>
      <c r="J1077" s="6">
        <f t="shared" si="32"/>
        <v>0.2982456140350877</v>
      </c>
      <c r="K1077">
        <f t="shared" si="33"/>
        <v>17484</v>
      </c>
      <c r="L1077" t="str">
        <f>VLOOKUP($B1077,dim_stores!$A$1:$C$51,2,0)</f>
        <v>Chennai</v>
      </c>
    </row>
    <row r="1078" spans="1:12" x14ac:dyDescent="0.3">
      <c r="A1078" t="s">
        <v>1082</v>
      </c>
      <c r="B1078" t="s">
        <v>70</v>
      </c>
      <c r="C1078" t="s">
        <v>15</v>
      </c>
      <c r="D1078" t="s">
        <v>68</v>
      </c>
      <c r="E1078">
        <v>1020</v>
      </c>
      <c r="F1078" t="s">
        <v>21</v>
      </c>
      <c r="G1078">
        <v>56</v>
      </c>
      <c r="H1078">
        <v>224</v>
      </c>
      <c r="I1078" t="str">
        <f>_xlfn.XLOOKUP($C1078,dim_campaigns!$D$2:$D$3,dim_campaigns!$A$2:$A$3,"",0)</f>
        <v>Diwali</v>
      </c>
      <c r="J1078" s="6">
        <f t="shared" si="32"/>
        <v>3</v>
      </c>
      <c r="K1078">
        <f t="shared" si="33"/>
        <v>171360</v>
      </c>
      <c r="L1078" t="str">
        <f>VLOOKUP($B1078,dim_stores!$A$1:$C$51,2,0)</f>
        <v>Chennai</v>
      </c>
    </row>
    <row r="1079" spans="1:12" x14ac:dyDescent="0.3">
      <c r="A1079" t="s">
        <v>1083</v>
      </c>
      <c r="B1079" t="s">
        <v>63</v>
      </c>
      <c r="C1079" t="s">
        <v>10</v>
      </c>
      <c r="D1079" t="s">
        <v>35</v>
      </c>
      <c r="E1079">
        <v>350</v>
      </c>
      <c r="F1079" t="s">
        <v>21</v>
      </c>
      <c r="G1079">
        <v>124</v>
      </c>
      <c r="H1079">
        <v>500</v>
      </c>
      <c r="I1079" t="str">
        <f>_xlfn.XLOOKUP($C1079,dim_campaigns!$D$2:$D$3,dim_campaigns!$A$2:$A$3,"",0)</f>
        <v>Sankranti</v>
      </c>
      <c r="J1079" s="6">
        <f t="shared" si="32"/>
        <v>3.032258064516129</v>
      </c>
      <c r="K1079">
        <f t="shared" si="33"/>
        <v>130900</v>
      </c>
      <c r="L1079" t="str">
        <f>VLOOKUP($B1079,dim_stores!$A$1:$C$51,2,0)</f>
        <v>Visakhapatnam</v>
      </c>
    </row>
    <row r="1080" spans="1:12" x14ac:dyDescent="0.3">
      <c r="A1080" t="s">
        <v>1084</v>
      </c>
      <c r="B1080" t="s">
        <v>58</v>
      </c>
      <c r="C1080" t="s">
        <v>15</v>
      </c>
      <c r="D1080" t="s">
        <v>68</v>
      </c>
      <c r="E1080">
        <v>1020</v>
      </c>
      <c r="F1080" t="s">
        <v>21</v>
      </c>
      <c r="G1080">
        <v>54</v>
      </c>
      <c r="H1080">
        <v>184</v>
      </c>
      <c r="I1080" t="str">
        <f>_xlfn.XLOOKUP($C1080,dim_campaigns!$D$2:$D$3,dim_campaigns!$A$2:$A$3,"",0)</f>
        <v>Diwali</v>
      </c>
      <c r="J1080" s="6">
        <f t="shared" si="32"/>
        <v>2.4074074074074074</v>
      </c>
      <c r="K1080">
        <f t="shared" si="33"/>
        <v>148920</v>
      </c>
      <c r="L1080" t="str">
        <f>VLOOKUP($B1080,dim_stores!$A$1:$C$51,2,0)</f>
        <v>Chennai</v>
      </c>
    </row>
    <row r="1081" spans="1:12" x14ac:dyDescent="0.3">
      <c r="A1081" t="s">
        <v>1085</v>
      </c>
      <c r="B1081" t="s">
        <v>190</v>
      </c>
      <c r="C1081" t="s">
        <v>15</v>
      </c>
      <c r="D1081" t="s">
        <v>68</v>
      </c>
      <c r="E1081">
        <v>1020</v>
      </c>
      <c r="F1081" t="s">
        <v>21</v>
      </c>
      <c r="G1081">
        <v>29</v>
      </c>
      <c r="H1081">
        <v>97</v>
      </c>
      <c r="I1081" t="str">
        <f>_xlfn.XLOOKUP($C1081,dim_campaigns!$D$2:$D$3,dim_campaigns!$A$2:$A$3,"",0)</f>
        <v>Diwali</v>
      </c>
      <c r="J1081" s="6">
        <f t="shared" si="32"/>
        <v>2.3448275862068964</v>
      </c>
      <c r="K1081">
        <f t="shared" si="33"/>
        <v>79050</v>
      </c>
      <c r="L1081" t="str">
        <f>VLOOKUP($B1081,dim_stores!$A$1:$C$51,2,0)</f>
        <v>Visakhapatnam</v>
      </c>
    </row>
    <row r="1082" spans="1:12" x14ac:dyDescent="0.3">
      <c r="A1082" t="s">
        <v>1086</v>
      </c>
      <c r="B1082" t="s">
        <v>95</v>
      </c>
      <c r="C1082" t="s">
        <v>10</v>
      </c>
      <c r="D1082" t="s">
        <v>11</v>
      </c>
      <c r="E1082">
        <v>190</v>
      </c>
      <c r="F1082" t="s">
        <v>12</v>
      </c>
      <c r="G1082">
        <v>45</v>
      </c>
      <c r="H1082">
        <v>62</v>
      </c>
      <c r="I1082" t="str">
        <f>_xlfn.XLOOKUP($C1082,dim_campaigns!$D$2:$D$3,dim_campaigns!$A$2:$A$3,"",0)</f>
        <v>Sankranti</v>
      </c>
      <c r="J1082" s="6">
        <f t="shared" si="32"/>
        <v>0.37777777777777777</v>
      </c>
      <c r="K1082">
        <f t="shared" si="33"/>
        <v>14440</v>
      </c>
      <c r="L1082" t="str">
        <f>VLOOKUP($B1082,dim_stores!$A$1:$C$51,2,0)</f>
        <v>Hyderabad</v>
      </c>
    </row>
    <row r="1083" spans="1:12" x14ac:dyDescent="0.3">
      <c r="A1083" t="s">
        <v>1087</v>
      </c>
      <c r="B1083" t="s">
        <v>107</v>
      </c>
      <c r="C1083" t="s">
        <v>15</v>
      </c>
      <c r="D1083" t="s">
        <v>32</v>
      </c>
      <c r="E1083">
        <v>65</v>
      </c>
      <c r="F1083" t="s">
        <v>12</v>
      </c>
      <c r="G1083">
        <v>80</v>
      </c>
      <c r="H1083">
        <v>124</v>
      </c>
      <c r="I1083" t="str">
        <f>_xlfn.XLOOKUP($C1083,dim_campaigns!$D$2:$D$3,dim_campaigns!$A$2:$A$3,"",0)</f>
        <v>Diwali</v>
      </c>
      <c r="J1083" s="6">
        <f t="shared" si="32"/>
        <v>0.55000000000000004</v>
      </c>
      <c r="K1083">
        <f t="shared" si="33"/>
        <v>9230</v>
      </c>
      <c r="L1083" t="str">
        <f>VLOOKUP($B1083,dim_stores!$A$1:$C$51,2,0)</f>
        <v>Coimbatore</v>
      </c>
    </row>
    <row r="1084" spans="1:12" x14ac:dyDescent="0.3">
      <c r="A1084" t="s">
        <v>1088</v>
      </c>
      <c r="B1084" t="s">
        <v>113</v>
      </c>
      <c r="C1084" t="s">
        <v>10</v>
      </c>
      <c r="D1084" t="s">
        <v>20</v>
      </c>
      <c r="E1084">
        <v>300</v>
      </c>
      <c r="F1084" t="s">
        <v>21</v>
      </c>
      <c r="G1084">
        <v>31</v>
      </c>
      <c r="H1084">
        <v>79</v>
      </c>
      <c r="I1084" t="str">
        <f>_xlfn.XLOOKUP($C1084,dim_campaigns!$D$2:$D$3,dim_campaigns!$A$2:$A$3,"",0)</f>
        <v>Sankranti</v>
      </c>
      <c r="J1084" s="6">
        <f t="shared" si="32"/>
        <v>1.5483870967741935</v>
      </c>
      <c r="K1084">
        <f t="shared" si="33"/>
        <v>21150</v>
      </c>
      <c r="L1084" t="str">
        <f>VLOOKUP($B1084,dim_stores!$A$1:$C$51,2,0)</f>
        <v>Chennai</v>
      </c>
    </row>
    <row r="1085" spans="1:12" x14ac:dyDescent="0.3">
      <c r="A1085" t="s">
        <v>1089</v>
      </c>
      <c r="B1085" t="s">
        <v>19</v>
      </c>
      <c r="C1085" t="s">
        <v>10</v>
      </c>
      <c r="D1085" t="s">
        <v>53</v>
      </c>
      <c r="E1085">
        <v>860</v>
      </c>
      <c r="F1085" t="s">
        <v>54</v>
      </c>
      <c r="G1085">
        <v>298</v>
      </c>
      <c r="H1085">
        <v>420</v>
      </c>
      <c r="I1085" t="str">
        <f>_xlfn.XLOOKUP($C1085,dim_campaigns!$D$2:$D$3,dim_campaigns!$A$2:$A$3,"",0)</f>
        <v>Sankranti</v>
      </c>
      <c r="J1085" s="6">
        <f t="shared" si="32"/>
        <v>0.40939597315436244</v>
      </c>
      <c r="K1085">
        <f t="shared" si="33"/>
        <v>498284</v>
      </c>
      <c r="L1085" t="str">
        <f>VLOOKUP($B1085,dim_stores!$A$1:$C$51,2,0)</f>
        <v>Vijayawada</v>
      </c>
    </row>
    <row r="1086" spans="1:12" x14ac:dyDescent="0.3">
      <c r="A1086" t="s">
        <v>1090</v>
      </c>
      <c r="B1086" t="s">
        <v>207</v>
      </c>
      <c r="C1086" t="s">
        <v>15</v>
      </c>
      <c r="D1086" t="s">
        <v>32</v>
      </c>
      <c r="E1086">
        <v>65</v>
      </c>
      <c r="F1086" t="s">
        <v>12</v>
      </c>
      <c r="G1086">
        <v>112</v>
      </c>
      <c r="H1086">
        <v>170</v>
      </c>
      <c r="I1086" t="str">
        <f>_xlfn.XLOOKUP($C1086,dim_campaigns!$D$2:$D$3,dim_campaigns!$A$2:$A$3,"",0)</f>
        <v>Diwali</v>
      </c>
      <c r="J1086" s="6">
        <f t="shared" si="32"/>
        <v>0.5178571428571429</v>
      </c>
      <c r="K1086">
        <f t="shared" si="33"/>
        <v>12805</v>
      </c>
      <c r="L1086" t="str">
        <f>VLOOKUP($B1086,dim_stores!$A$1:$C$51,2,0)</f>
        <v>Hyderabad</v>
      </c>
    </row>
    <row r="1087" spans="1:12" x14ac:dyDescent="0.3">
      <c r="A1087" t="s">
        <v>1091</v>
      </c>
      <c r="B1087" t="s">
        <v>95</v>
      </c>
      <c r="C1087" t="s">
        <v>10</v>
      </c>
      <c r="D1087" t="s">
        <v>51</v>
      </c>
      <c r="E1087">
        <v>370</v>
      </c>
      <c r="F1087" t="s">
        <v>21</v>
      </c>
      <c r="G1087">
        <v>415</v>
      </c>
      <c r="H1087">
        <v>1672</v>
      </c>
      <c r="I1087" t="str">
        <f>_xlfn.XLOOKUP($C1087,dim_campaigns!$D$2:$D$3,dim_campaigns!$A$2:$A$3,"",0)</f>
        <v>Sankranti</v>
      </c>
      <c r="J1087" s="6">
        <f t="shared" si="32"/>
        <v>3.0289156626506024</v>
      </c>
      <c r="K1087">
        <f t="shared" si="33"/>
        <v>462870</v>
      </c>
      <c r="L1087" t="str">
        <f>VLOOKUP($B1087,dim_stores!$A$1:$C$51,2,0)</f>
        <v>Hyderabad</v>
      </c>
    </row>
    <row r="1088" spans="1:12" x14ac:dyDescent="0.3">
      <c r="A1088" t="s">
        <v>1092</v>
      </c>
      <c r="B1088" t="s">
        <v>31</v>
      </c>
      <c r="C1088" t="s">
        <v>10</v>
      </c>
      <c r="D1088" t="s">
        <v>48</v>
      </c>
      <c r="E1088">
        <v>62</v>
      </c>
      <c r="F1088" t="s">
        <v>12</v>
      </c>
      <c r="G1088">
        <v>28</v>
      </c>
      <c r="H1088">
        <v>43</v>
      </c>
      <c r="I1088" t="str">
        <f>_xlfn.XLOOKUP($C1088,dim_campaigns!$D$2:$D$3,dim_campaigns!$A$2:$A$3,"",0)</f>
        <v>Sankranti</v>
      </c>
      <c r="J1088" s="6">
        <f t="shared" si="32"/>
        <v>0.5357142857142857</v>
      </c>
      <c r="K1088">
        <f t="shared" si="33"/>
        <v>3069</v>
      </c>
      <c r="L1088" t="str">
        <f>VLOOKUP($B1088,dim_stores!$A$1:$C$51,2,0)</f>
        <v>Visakhapatnam</v>
      </c>
    </row>
    <row r="1089" spans="1:12" x14ac:dyDescent="0.3">
      <c r="A1089" t="s">
        <v>1093</v>
      </c>
      <c r="B1089" t="s">
        <v>27</v>
      </c>
      <c r="C1089" t="s">
        <v>10</v>
      </c>
      <c r="D1089" t="s">
        <v>38</v>
      </c>
      <c r="E1089">
        <v>1190</v>
      </c>
      <c r="F1089" t="s">
        <v>21</v>
      </c>
      <c r="G1089">
        <v>69</v>
      </c>
      <c r="H1089">
        <v>303</v>
      </c>
      <c r="I1089" t="str">
        <f>_xlfn.XLOOKUP($C1089,dim_campaigns!$D$2:$D$3,dim_campaigns!$A$2:$A$3,"",0)</f>
        <v>Sankranti</v>
      </c>
      <c r="J1089" s="6">
        <f t="shared" si="32"/>
        <v>3.3913043478260869</v>
      </c>
      <c r="K1089">
        <f t="shared" si="33"/>
        <v>262395</v>
      </c>
      <c r="L1089" t="str">
        <f>VLOOKUP($B1089,dim_stores!$A$1:$C$51,2,0)</f>
        <v>Bengaluru</v>
      </c>
    </row>
    <row r="1090" spans="1:12" x14ac:dyDescent="0.3">
      <c r="A1090" t="s">
        <v>1094</v>
      </c>
      <c r="B1090" t="s">
        <v>193</v>
      </c>
      <c r="C1090" t="s">
        <v>10</v>
      </c>
      <c r="D1090" t="s">
        <v>43</v>
      </c>
      <c r="E1090">
        <v>415</v>
      </c>
      <c r="F1090" t="s">
        <v>17</v>
      </c>
      <c r="G1090">
        <v>40</v>
      </c>
      <c r="H1090">
        <v>33</v>
      </c>
      <c r="I1090" t="str">
        <f>_xlfn.XLOOKUP($C1090,dim_campaigns!$D$2:$D$3,dim_campaigns!$A$2:$A$3,"",0)</f>
        <v>Sankranti</v>
      </c>
      <c r="J1090" s="6">
        <f t="shared" si="32"/>
        <v>-0.17499999999999999</v>
      </c>
      <c r="K1090">
        <f t="shared" si="33"/>
        <v>26871.25</v>
      </c>
      <c r="L1090" t="str">
        <f>VLOOKUP($B1090,dim_stores!$A$1:$C$51,2,0)</f>
        <v>Bengaluru</v>
      </c>
    </row>
    <row r="1091" spans="1:12" x14ac:dyDescent="0.3">
      <c r="A1091" t="s">
        <v>1095</v>
      </c>
      <c r="B1091" t="s">
        <v>63</v>
      </c>
      <c r="C1091" t="s">
        <v>15</v>
      </c>
      <c r="D1091" t="s">
        <v>68</v>
      </c>
      <c r="E1091">
        <v>1020</v>
      </c>
      <c r="F1091" t="s">
        <v>21</v>
      </c>
      <c r="G1091">
        <v>26</v>
      </c>
      <c r="H1091">
        <v>91</v>
      </c>
      <c r="I1091" t="str">
        <f>_xlfn.XLOOKUP($C1091,dim_campaigns!$D$2:$D$3,dim_campaigns!$A$2:$A$3,"",0)</f>
        <v>Diwali</v>
      </c>
      <c r="J1091" s="6">
        <f t="shared" ref="J1091:J1154" si="34">IFERROR((H1091-G1091)/G1091,0)</f>
        <v>2.5</v>
      </c>
      <c r="K1091">
        <f t="shared" ref="K1091:K1154" si="35">E1091*G1091+(E1091-IF(F1091="500 Cashback",500,IF(F1091="BOGOF",E1091*50%,IF(F1091="25% OFF",E1091*25%,IF(F1091="33% OFF",E1091*33%,IF(F1091="50% OFF",E1091*50%,0))))))*H1091</f>
        <v>72930</v>
      </c>
      <c r="L1091" t="str">
        <f>VLOOKUP($B1091,dim_stores!$A$1:$C$51,2,0)</f>
        <v>Visakhapatnam</v>
      </c>
    </row>
    <row r="1092" spans="1:12" x14ac:dyDescent="0.3">
      <c r="A1092" t="s">
        <v>1096</v>
      </c>
      <c r="B1092" t="s">
        <v>212</v>
      </c>
      <c r="C1092" t="s">
        <v>15</v>
      </c>
      <c r="D1092" t="s">
        <v>61</v>
      </c>
      <c r="E1092">
        <v>172</v>
      </c>
      <c r="F1092" t="s">
        <v>54</v>
      </c>
      <c r="G1092">
        <v>341</v>
      </c>
      <c r="H1092">
        <v>606</v>
      </c>
      <c r="I1092" t="str">
        <f>_xlfn.XLOOKUP($C1092,dim_campaigns!$D$2:$D$3,dim_campaigns!$A$2:$A$3,"",0)</f>
        <v>Diwali</v>
      </c>
      <c r="J1092" s="6">
        <f t="shared" si="34"/>
        <v>0.77712609970674484</v>
      </c>
      <c r="K1092">
        <f t="shared" si="35"/>
        <v>128487.44</v>
      </c>
      <c r="L1092" t="str">
        <f>VLOOKUP($B1092,dim_stores!$A$1:$C$51,2,0)</f>
        <v>Bengaluru</v>
      </c>
    </row>
    <row r="1093" spans="1:12" x14ac:dyDescent="0.3">
      <c r="A1093" t="s">
        <v>1097</v>
      </c>
      <c r="B1093" t="s">
        <v>139</v>
      </c>
      <c r="C1093" t="s">
        <v>15</v>
      </c>
      <c r="D1093" t="s">
        <v>38</v>
      </c>
      <c r="E1093">
        <v>1190</v>
      </c>
      <c r="F1093" t="s">
        <v>21</v>
      </c>
      <c r="G1093">
        <v>45</v>
      </c>
      <c r="H1093">
        <v>138</v>
      </c>
      <c r="I1093" t="str">
        <f>_xlfn.XLOOKUP($C1093,dim_campaigns!$D$2:$D$3,dim_campaigns!$A$2:$A$3,"",0)</f>
        <v>Diwali</v>
      </c>
      <c r="J1093" s="6">
        <f t="shared" si="34"/>
        <v>2.0666666666666669</v>
      </c>
      <c r="K1093">
        <f t="shared" si="35"/>
        <v>135660</v>
      </c>
      <c r="L1093" t="str">
        <f>VLOOKUP($B1093,dim_stores!$A$1:$C$51,2,0)</f>
        <v>Visakhapatnam</v>
      </c>
    </row>
    <row r="1094" spans="1:12" x14ac:dyDescent="0.3">
      <c r="A1094" t="s">
        <v>1098</v>
      </c>
      <c r="B1094" t="s">
        <v>193</v>
      </c>
      <c r="C1094" t="s">
        <v>15</v>
      </c>
      <c r="D1094" t="s">
        <v>35</v>
      </c>
      <c r="E1094">
        <v>350</v>
      </c>
      <c r="F1094" t="s">
        <v>21</v>
      </c>
      <c r="G1094">
        <v>78</v>
      </c>
      <c r="H1094">
        <v>274</v>
      </c>
      <c r="I1094" t="str">
        <f>_xlfn.XLOOKUP($C1094,dim_campaigns!$D$2:$D$3,dim_campaigns!$A$2:$A$3,"",0)</f>
        <v>Diwali</v>
      </c>
      <c r="J1094" s="6">
        <f t="shared" si="34"/>
        <v>2.5128205128205128</v>
      </c>
      <c r="K1094">
        <f t="shared" si="35"/>
        <v>75250</v>
      </c>
      <c r="L1094" t="str">
        <f>VLOOKUP($B1094,dim_stores!$A$1:$C$51,2,0)</f>
        <v>Bengaluru</v>
      </c>
    </row>
    <row r="1095" spans="1:12" x14ac:dyDescent="0.3">
      <c r="A1095" t="s">
        <v>1099</v>
      </c>
      <c r="B1095" t="s">
        <v>52</v>
      </c>
      <c r="C1095" t="s">
        <v>15</v>
      </c>
      <c r="D1095" t="s">
        <v>16</v>
      </c>
      <c r="E1095">
        <v>156</v>
      </c>
      <c r="F1095" t="s">
        <v>17</v>
      </c>
      <c r="G1095">
        <v>301</v>
      </c>
      <c r="H1095">
        <v>237</v>
      </c>
      <c r="I1095" t="str">
        <f>_xlfn.XLOOKUP($C1095,dim_campaigns!$D$2:$D$3,dim_campaigns!$A$2:$A$3,"",0)</f>
        <v>Diwali</v>
      </c>
      <c r="J1095" s="6">
        <f t="shared" si="34"/>
        <v>-0.21262458471760798</v>
      </c>
      <c r="K1095">
        <f t="shared" si="35"/>
        <v>74685</v>
      </c>
      <c r="L1095" t="str">
        <f>VLOOKUP($B1095,dim_stores!$A$1:$C$51,2,0)</f>
        <v>Visakhapatnam</v>
      </c>
    </row>
    <row r="1096" spans="1:12" x14ac:dyDescent="0.3">
      <c r="A1096" t="s">
        <v>1100</v>
      </c>
      <c r="B1096" t="s">
        <v>78</v>
      </c>
      <c r="C1096" t="s">
        <v>10</v>
      </c>
      <c r="D1096" t="s">
        <v>32</v>
      </c>
      <c r="E1096">
        <v>50</v>
      </c>
      <c r="F1096" t="s">
        <v>17</v>
      </c>
      <c r="G1096">
        <v>30</v>
      </c>
      <c r="H1096">
        <v>24</v>
      </c>
      <c r="I1096" t="str">
        <f>_xlfn.XLOOKUP($C1096,dim_campaigns!$D$2:$D$3,dim_campaigns!$A$2:$A$3,"",0)</f>
        <v>Sankranti</v>
      </c>
      <c r="J1096" s="6">
        <f t="shared" si="34"/>
        <v>-0.2</v>
      </c>
      <c r="K1096">
        <f t="shared" si="35"/>
        <v>2400</v>
      </c>
      <c r="L1096" t="str">
        <f>VLOOKUP($B1096,dim_stores!$A$1:$C$51,2,0)</f>
        <v>Mysuru</v>
      </c>
    </row>
    <row r="1097" spans="1:12" x14ac:dyDescent="0.3">
      <c r="A1097" t="s">
        <v>1101</v>
      </c>
      <c r="B1097" t="s">
        <v>9</v>
      </c>
      <c r="C1097" t="s">
        <v>10</v>
      </c>
      <c r="D1097" t="s">
        <v>16</v>
      </c>
      <c r="E1097">
        <v>200</v>
      </c>
      <c r="F1097" t="s">
        <v>21</v>
      </c>
      <c r="G1097">
        <v>304</v>
      </c>
      <c r="H1097">
        <v>1340</v>
      </c>
      <c r="I1097" t="str">
        <f>_xlfn.XLOOKUP($C1097,dim_campaigns!$D$2:$D$3,dim_campaigns!$A$2:$A$3,"",0)</f>
        <v>Sankranti</v>
      </c>
      <c r="J1097" s="6">
        <f t="shared" si="34"/>
        <v>3.4078947368421053</v>
      </c>
      <c r="K1097">
        <f t="shared" si="35"/>
        <v>194800</v>
      </c>
      <c r="L1097" t="str">
        <f>VLOOKUP($B1097,dim_stores!$A$1:$C$51,2,0)</f>
        <v>Coimbatore</v>
      </c>
    </row>
    <row r="1098" spans="1:12" x14ac:dyDescent="0.3">
      <c r="A1098" t="s">
        <v>1102</v>
      </c>
      <c r="B1098" t="s">
        <v>103</v>
      </c>
      <c r="C1098" t="s">
        <v>15</v>
      </c>
      <c r="D1098" t="s">
        <v>24</v>
      </c>
      <c r="E1098">
        <v>3000</v>
      </c>
      <c r="F1098" t="s">
        <v>25</v>
      </c>
      <c r="G1098">
        <v>362</v>
      </c>
      <c r="H1098">
        <v>959</v>
      </c>
      <c r="I1098" t="str">
        <f>_xlfn.XLOOKUP($C1098,dim_campaigns!$D$2:$D$3,dim_campaigns!$A$2:$A$3,"",0)</f>
        <v>Diwali</v>
      </c>
      <c r="J1098" s="6">
        <f t="shared" si="34"/>
        <v>1.649171270718232</v>
      </c>
      <c r="K1098">
        <f t="shared" si="35"/>
        <v>3483500</v>
      </c>
      <c r="L1098" t="str">
        <f>VLOOKUP($B1098,dim_stores!$A$1:$C$51,2,0)</f>
        <v>Hyderabad</v>
      </c>
    </row>
    <row r="1099" spans="1:12" x14ac:dyDescent="0.3">
      <c r="A1099" t="s">
        <v>1103</v>
      </c>
      <c r="B1099" t="s">
        <v>89</v>
      </c>
      <c r="C1099" t="s">
        <v>10</v>
      </c>
      <c r="D1099" t="s">
        <v>68</v>
      </c>
      <c r="E1099">
        <v>1020</v>
      </c>
      <c r="F1099" t="s">
        <v>21</v>
      </c>
      <c r="G1099">
        <v>61</v>
      </c>
      <c r="H1099">
        <v>243</v>
      </c>
      <c r="I1099" t="str">
        <f>_xlfn.XLOOKUP($C1099,dim_campaigns!$D$2:$D$3,dim_campaigns!$A$2:$A$3,"",0)</f>
        <v>Sankranti</v>
      </c>
      <c r="J1099" s="6">
        <f t="shared" si="34"/>
        <v>2.9836065573770494</v>
      </c>
      <c r="K1099">
        <f t="shared" si="35"/>
        <v>186150</v>
      </c>
      <c r="L1099" t="str">
        <f>VLOOKUP($B1099,dim_stores!$A$1:$C$51,2,0)</f>
        <v>Vijayawada</v>
      </c>
    </row>
    <row r="1100" spans="1:12" x14ac:dyDescent="0.3">
      <c r="A1100" t="s">
        <v>1104</v>
      </c>
      <c r="B1100" t="s">
        <v>37</v>
      </c>
      <c r="C1100" t="s">
        <v>15</v>
      </c>
      <c r="D1100" t="s">
        <v>85</v>
      </c>
      <c r="E1100">
        <v>110</v>
      </c>
      <c r="F1100" t="s">
        <v>12</v>
      </c>
      <c r="G1100">
        <v>54</v>
      </c>
      <c r="H1100">
        <v>68</v>
      </c>
      <c r="I1100" t="str">
        <f>_xlfn.XLOOKUP($C1100,dim_campaigns!$D$2:$D$3,dim_campaigns!$A$2:$A$3,"",0)</f>
        <v>Diwali</v>
      </c>
      <c r="J1100" s="6">
        <f t="shared" si="34"/>
        <v>0.25925925925925924</v>
      </c>
      <c r="K1100">
        <f t="shared" si="35"/>
        <v>9680</v>
      </c>
      <c r="L1100" t="str">
        <f>VLOOKUP($B1100,dim_stores!$A$1:$C$51,2,0)</f>
        <v>Coimbatore</v>
      </c>
    </row>
    <row r="1101" spans="1:12" x14ac:dyDescent="0.3">
      <c r="A1101" t="s">
        <v>1105</v>
      </c>
      <c r="B1101" t="s">
        <v>193</v>
      </c>
      <c r="C1101" t="s">
        <v>15</v>
      </c>
      <c r="D1101" t="s">
        <v>38</v>
      </c>
      <c r="E1101">
        <v>1190</v>
      </c>
      <c r="F1101" t="s">
        <v>21</v>
      </c>
      <c r="G1101">
        <v>40</v>
      </c>
      <c r="H1101">
        <v>135</v>
      </c>
      <c r="I1101" t="str">
        <f>_xlfn.XLOOKUP($C1101,dim_campaigns!$D$2:$D$3,dim_campaigns!$A$2:$A$3,"",0)</f>
        <v>Diwali</v>
      </c>
      <c r="J1101" s="6">
        <f t="shared" si="34"/>
        <v>2.375</v>
      </c>
      <c r="K1101">
        <f t="shared" si="35"/>
        <v>127925</v>
      </c>
      <c r="L1101" t="str">
        <f>VLOOKUP($B1101,dim_stores!$A$1:$C$51,2,0)</f>
        <v>Bengaluru</v>
      </c>
    </row>
    <row r="1102" spans="1:12" x14ac:dyDescent="0.3">
      <c r="A1102" t="s">
        <v>1106</v>
      </c>
      <c r="B1102" t="s">
        <v>56</v>
      </c>
      <c r="C1102" t="s">
        <v>15</v>
      </c>
      <c r="D1102" t="s">
        <v>61</v>
      </c>
      <c r="E1102">
        <v>172</v>
      </c>
      <c r="F1102" t="s">
        <v>54</v>
      </c>
      <c r="G1102">
        <v>320</v>
      </c>
      <c r="H1102">
        <v>416</v>
      </c>
      <c r="I1102" t="str">
        <f>_xlfn.XLOOKUP($C1102,dim_campaigns!$D$2:$D$3,dim_campaigns!$A$2:$A$3,"",0)</f>
        <v>Diwali</v>
      </c>
      <c r="J1102" s="6">
        <f t="shared" si="34"/>
        <v>0.3</v>
      </c>
      <c r="K1102">
        <f t="shared" si="35"/>
        <v>102979.84</v>
      </c>
      <c r="L1102" t="str">
        <f>VLOOKUP($B1102,dim_stores!$A$1:$C$51,2,0)</f>
        <v>Chennai</v>
      </c>
    </row>
    <row r="1103" spans="1:12" x14ac:dyDescent="0.3">
      <c r="A1103" t="s">
        <v>1107</v>
      </c>
      <c r="B1103" t="s">
        <v>96</v>
      </c>
      <c r="C1103" t="s">
        <v>10</v>
      </c>
      <c r="D1103" t="s">
        <v>35</v>
      </c>
      <c r="E1103">
        <v>350</v>
      </c>
      <c r="F1103" t="s">
        <v>21</v>
      </c>
      <c r="G1103">
        <v>124</v>
      </c>
      <c r="H1103">
        <v>527</v>
      </c>
      <c r="I1103" t="str">
        <f>_xlfn.XLOOKUP($C1103,dim_campaigns!$D$2:$D$3,dim_campaigns!$A$2:$A$3,"",0)</f>
        <v>Sankranti</v>
      </c>
      <c r="J1103" s="6">
        <f t="shared" si="34"/>
        <v>3.25</v>
      </c>
      <c r="K1103">
        <f t="shared" si="35"/>
        <v>135625</v>
      </c>
      <c r="L1103" t="str">
        <f>VLOOKUP($B1103,dim_stores!$A$1:$C$51,2,0)</f>
        <v>Mysuru</v>
      </c>
    </row>
    <row r="1104" spans="1:12" x14ac:dyDescent="0.3">
      <c r="A1104" t="s">
        <v>1108</v>
      </c>
      <c r="B1104" t="s">
        <v>63</v>
      </c>
      <c r="C1104" t="s">
        <v>10</v>
      </c>
      <c r="D1104" t="s">
        <v>16</v>
      </c>
      <c r="E1104">
        <v>200</v>
      </c>
      <c r="F1104" t="s">
        <v>21</v>
      </c>
      <c r="G1104">
        <v>322</v>
      </c>
      <c r="H1104">
        <v>1291</v>
      </c>
      <c r="I1104" t="str">
        <f>_xlfn.XLOOKUP($C1104,dim_campaigns!$D$2:$D$3,dim_campaigns!$A$2:$A$3,"",0)</f>
        <v>Sankranti</v>
      </c>
      <c r="J1104" s="6">
        <f t="shared" si="34"/>
        <v>3.0093167701863353</v>
      </c>
      <c r="K1104">
        <f t="shared" si="35"/>
        <v>193500</v>
      </c>
      <c r="L1104" t="str">
        <f>VLOOKUP($B1104,dim_stores!$A$1:$C$51,2,0)</f>
        <v>Visakhapatnam</v>
      </c>
    </row>
    <row r="1105" spans="1:12" x14ac:dyDescent="0.3">
      <c r="A1105" t="s">
        <v>1109</v>
      </c>
      <c r="B1105" t="s">
        <v>67</v>
      </c>
      <c r="C1105" t="s">
        <v>15</v>
      </c>
      <c r="D1105" t="s">
        <v>48</v>
      </c>
      <c r="E1105">
        <v>62</v>
      </c>
      <c r="F1105" t="s">
        <v>12</v>
      </c>
      <c r="G1105">
        <v>147</v>
      </c>
      <c r="H1105">
        <v>198</v>
      </c>
      <c r="I1105" t="str">
        <f>_xlfn.XLOOKUP($C1105,dim_campaigns!$D$2:$D$3,dim_campaigns!$A$2:$A$3,"",0)</f>
        <v>Diwali</v>
      </c>
      <c r="J1105" s="6">
        <f t="shared" si="34"/>
        <v>0.34693877551020408</v>
      </c>
      <c r="K1105">
        <f t="shared" si="35"/>
        <v>15252</v>
      </c>
      <c r="L1105" t="str">
        <f>VLOOKUP($B1105,dim_stores!$A$1:$C$51,2,0)</f>
        <v>Bengaluru</v>
      </c>
    </row>
    <row r="1106" spans="1:12" x14ac:dyDescent="0.3">
      <c r="A1106" t="s">
        <v>1110</v>
      </c>
      <c r="B1106" t="s">
        <v>119</v>
      </c>
      <c r="C1106" t="s">
        <v>10</v>
      </c>
      <c r="D1106" t="s">
        <v>85</v>
      </c>
      <c r="E1106">
        <v>90</v>
      </c>
      <c r="F1106" t="s">
        <v>17</v>
      </c>
      <c r="G1106">
        <v>60</v>
      </c>
      <c r="H1106">
        <v>49</v>
      </c>
      <c r="I1106" t="str">
        <f>_xlfn.XLOOKUP($C1106,dim_campaigns!$D$2:$D$3,dim_campaigns!$A$2:$A$3,"",0)</f>
        <v>Sankranti</v>
      </c>
      <c r="J1106" s="6">
        <f t="shared" si="34"/>
        <v>-0.18333333333333332</v>
      </c>
      <c r="K1106">
        <f t="shared" si="35"/>
        <v>8707.5</v>
      </c>
      <c r="L1106" t="str">
        <f>VLOOKUP($B1106,dim_stores!$A$1:$C$51,2,0)</f>
        <v>Chennai</v>
      </c>
    </row>
    <row r="1107" spans="1:12" x14ac:dyDescent="0.3">
      <c r="A1107" t="s">
        <v>1111</v>
      </c>
      <c r="B1107" t="s">
        <v>207</v>
      </c>
      <c r="C1107" t="s">
        <v>15</v>
      </c>
      <c r="D1107" t="s">
        <v>51</v>
      </c>
      <c r="E1107">
        <v>290</v>
      </c>
      <c r="F1107" t="s">
        <v>17</v>
      </c>
      <c r="G1107">
        <v>367</v>
      </c>
      <c r="H1107">
        <v>330</v>
      </c>
      <c r="I1107" t="str">
        <f>_xlfn.XLOOKUP($C1107,dim_campaigns!$D$2:$D$3,dim_campaigns!$A$2:$A$3,"",0)</f>
        <v>Diwali</v>
      </c>
      <c r="J1107" s="6">
        <f t="shared" si="34"/>
        <v>-0.1008174386920981</v>
      </c>
      <c r="K1107">
        <f t="shared" si="35"/>
        <v>178205</v>
      </c>
      <c r="L1107" t="str">
        <f>VLOOKUP($B1107,dim_stores!$A$1:$C$51,2,0)</f>
        <v>Hyderabad</v>
      </c>
    </row>
    <row r="1108" spans="1:12" x14ac:dyDescent="0.3">
      <c r="A1108" t="s">
        <v>1112</v>
      </c>
      <c r="B1108" t="s">
        <v>107</v>
      </c>
      <c r="C1108" t="s">
        <v>10</v>
      </c>
      <c r="D1108" t="s">
        <v>48</v>
      </c>
      <c r="E1108">
        <v>62</v>
      </c>
      <c r="F1108" t="s">
        <v>12</v>
      </c>
      <c r="G1108">
        <v>39</v>
      </c>
      <c r="H1108">
        <v>61</v>
      </c>
      <c r="I1108" t="str">
        <f>_xlfn.XLOOKUP($C1108,dim_campaigns!$D$2:$D$3,dim_campaigns!$A$2:$A$3,"",0)</f>
        <v>Sankranti</v>
      </c>
      <c r="J1108" s="6">
        <f t="shared" si="34"/>
        <v>0.5641025641025641</v>
      </c>
      <c r="K1108">
        <f t="shared" si="35"/>
        <v>4309</v>
      </c>
      <c r="L1108" t="str">
        <f>VLOOKUP($B1108,dim_stores!$A$1:$C$51,2,0)</f>
        <v>Coimbatore</v>
      </c>
    </row>
    <row r="1109" spans="1:12" x14ac:dyDescent="0.3">
      <c r="A1109" t="s">
        <v>1113</v>
      </c>
      <c r="B1109" t="s">
        <v>81</v>
      </c>
      <c r="C1109" t="s">
        <v>15</v>
      </c>
      <c r="D1109" t="s">
        <v>48</v>
      </c>
      <c r="E1109">
        <v>62</v>
      </c>
      <c r="F1109" t="s">
        <v>12</v>
      </c>
      <c r="G1109">
        <v>103</v>
      </c>
      <c r="H1109">
        <v>131</v>
      </c>
      <c r="I1109" t="str">
        <f>_xlfn.XLOOKUP($C1109,dim_campaigns!$D$2:$D$3,dim_campaigns!$A$2:$A$3,"",0)</f>
        <v>Diwali</v>
      </c>
      <c r="J1109" s="6">
        <f t="shared" si="34"/>
        <v>0.27184466019417475</v>
      </c>
      <c r="K1109">
        <f t="shared" si="35"/>
        <v>10447</v>
      </c>
      <c r="L1109" t="str">
        <f>VLOOKUP($B1109,dim_stores!$A$1:$C$51,2,0)</f>
        <v>Madurai</v>
      </c>
    </row>
    <row r="1110" spans="1:12" x14ac:dyDescent="0.3">
      <c r="A1110" t="s">
        <v>1114</v>
      </c>
      <c r="B1110" t="s">
        <v>110</v>
      </c>
      <c r="C1110" t="s">
        <v>10</v>
      </c>
      <c r="D1110" t="s">
        <v>11</v>
      </c>
      <c r="E1110">
        <v>190</v>
      </c>
      <c r="F1110" t="s">
        <v>12</v>
      </c>
      <c r="G1110">
        <v>49</v>
      </c>
      <c r="H1110">
        <v>71</v>
      </c>
      <c r="I1110" t="str">
        <f>_xlfn.XLOOKUP($C1110,dim_campaigns!$D$2:$D$3,dim_campaigns!$A$2:$A$3,"",0)</f>
        <v>Sankranti</v>
      </c>
      <c r="J1110" s="6">
        <f t="shared" si="34"/>
        <v>0.44897959183673469</v>
      </c>
      <c r="K1110">
        <f t="shared" si="35"/>
        <v>16055</v>
      </c>
      <c r="L1110" t="str">
        <f>VLOOKUP($B1110,dim_stores!$A$1:$C$51,2,0)</f>
        <v>Chennai</v>
      </c>
    </row>
    <row r="1111" spans="1:12" x14ac:dyDescent="0.3">
      <c r="A1111" t="s">
        <v>1115</v>
      </c>
      <c r="B1111" t="s">
        <v>142</v>
      </c>
      <c r="C1111" t="s">
        <v>10</v>
      </c>
      <c r="D1111" t="s">
        <v>85</v>
      </c>
      <c r="E1111">
        <v>90</v>
      </c>
      <c r="F1111" t="s">
        <v>17</v>
      </c>
      <c r="G1111">
        <v>45</v>
      </c>
      <c r="H1111">
        <v>36</v>
      </c>
      <c r="I1111" t="str">
        <f>_xlfn.XLOOKUP($C1111,dim_campaigns!$D$2:$D$3,dim_campaigns!$A$2:$A$3,"",0)</f>
        <v>Sankranti</v>
      </c>
      <c r="J1111" s="6">
        <f t="shared" si="34"/>
        <v>-0.2</v>
      </c>
      <c r="K1111">
        <f t="shared" si="35"/>
        <v>6480</v>
      </c>
      <c r="L1111" t="str">
        <f>VLOOKUP($B1111,dim_stores!$A$1:$C$51,2,0)</f>
        <v>Madurai</v>
      </c>
    </row>
    <row r="1112" spans="1:12" x14ac:dyDescent="0.3">
      <c r="A1112" t="s">
        <v>1116</v>
      </c>
      <c r="B1112" t="s">
        <v>117</v>
      </c>
      <c r="C1112" t="s">
        <v>10</v>
      </c>
      <c r="D1112" t="s">
        <v>85</v>
      </c>
      <c r="E1112">
        <v>90</v>
      </c>
      <c r="F1112" t="s">
        <v>17</v>
      </c>
      <c r="G1112">
        <v>28</v>
      </c>
      <c r="H1112">
        <v>22</v>
      </c>
      <c r="I1112" t="str">
        <f>_xlfn.XLOOKUP($C1112,dim_campaigns!$D$2:$D$3,dim_campaigns!$A$2:$A$3,"",0)</f>
        <v>Sankranti</v>
      </c>
      <c r="J1112" s="6">
        <f t="shared" si="34"/>
        <v>-0.21428571428571427</v>
      </c>
      <c r="K1112">
        <f t="shared" si="35"/>
        <v>4005</v>
      </c>
      <c r="L1112" t="str">
        <f>VLOOKUP($B1112,dim_stores!$A$1:$C$51,2,0)</f>
        <v>Mangalore</v>
      </c>
    </row>
    <row r="1113" spans="1:12" x14ac:dyDescent="0.3">
      <c r="A1113" t="s">
        <v>1117</v>
      </c>
      <c r="B1113" t="s">
        <v>60</v>
      </c>
      <c r="C1113" t="s">
        <v>10</v>
      </c>
      <c r="D1113" t="s">
        <v>11</v>
      </c>
      <c r="E1113">
        <v>190</v>
      </c>
      <c r="F1113" t="s">
        <v>12</v>
      </c>
      <c r="G1113">
        <v>22</v>
      </c>
      <c r="H1113">
        <v>30</v>
      </c>
      <c r="I1113" t="str">
        <f>_xlfn.XLOOKUP($C1113,dim_campaigns!$D$2:$D$3,dim_campaigns!$A$2:$A$3,"",0)</f>
        <v>Sankranti</v>
      </c>
      <c r="J1113" s="6">
        <f t="shared" si="34"/>
        <v>0.36363636363636365</v>
      </c>
      <c r="K1113">
        <f t="shared" si="35"/>
        <v>7030</v>
      </c>
      <c r="L1113" t="str">
        <f>VLOOKUP($B1113,dim_stores!$A$1:$C$51,2,0)</f>
        <v>Trivandrum</v>
      </c>
    </row>
    <row r="1114" spans="1:12" x14ac:dyDescent="0.3">
      <c r="A1114" t="s">
        <v>1118</v>
      </c>
      <c r="B1114" t="s">
        <v>65</v>
      </c>
      <c r="C1114" t="s">
        <v>15</v>
      </c>
      <c r="D1114" t="s">
        <v>38</v>
      </c>
      <c r="E1114">
        <v>1190</v>
      </c>
      <c r="F1114" t="s">
        <v>21</v>
      </c>
      <c r="G1114">
        <v>43</v>
      </c>
      <c r="H1114">
        <v>147</v>
      </c>
      <c r="I1114" t="str">
        <f>_xlfn.XLOOKUP($C1114,dim_campaigns!$D$2:$D$3,dim_campaigns!$A$2:$A$3,"",0)</f>
        <v>Diwali</v>
      </c>
      <c r="J1114" s="6">
        <f t="shared" si="34"/>
        <v>2.4186046511627906</v>
      </c>
      <c r="K1114">
        <f t="shared" si="35"/>
        <v>138635</v>
      </c>
      <c r="L1114" t="str">
        <f>VLOOKUP($B1114,dim_stores!$A$1:$C$51,2,0)</f>
        <v>Hyderabad</v>
      </c>
    </row>
    <row r="1115" spans="1:12" x14ac:dyDescent="0.3">
      <c r="A1115" t="s">
        <v>1119</v>
      </c>
      <c r="B1115" t="s">
        <v>9</v>
      </c>
      <c r="C1115" t="s">
        <v>15</v>
      </c>
      <c r="D1115" t="s">
        <v>85</v>
      </c>
      <c r="E1115">
        <v>110</v>
      </c>
      <c r="F1115" t="s">
        <v>12</v>
      </c>
      <c r="G1115">
        <v>50</v>
      </c>
      <c r="H1115">
        <v>80</v>
      </c>
      <c r="I1115" t="str">
        <f>_xlfn.XLOOKUP($C1115,dim_campaigns!$D$2:$D$3,dim_campaigns!$A$2:$A$3,"",0)</f>
        <v>Diwali</v>
      </c>
      <c r="J1115" s="6">
        <f t="shared" si="34"/>
        <v>0.6</v>
      </c>
      <c r="K1115">
        <f t="shared" si="35"/>
        <v>9900</v>
      </c>
      <c r="L1115" t="str">
        <f>VLOOKUP($B1115,dim_stores!$A$1:$C$51,2,0)</f>
        <v>Coimbatore</v>
      </c>
    </row>
    <row r="1116" spans="1:12" x14ac:dyDescent="0.3">
      <c r="A1116" t="s">
        <v>1120</v>
      </c>
      <c r="B1116" t="s">
        <v>27</v>
      </c>
      <c r="C1116" t="s">
        <v>15</v>
      </c>
      <c r="D1116" t="s">
        <v>24</v>
      </c>
      <c r="E1116">
        <v>3000</v>
      </c>
      <c r="F1116" t="s">
        <v>25</v>
      </c>
      <c r="G1116">
        <v>390</v>
      </c>
      <c r="H1116">
        <v>1318</v>
      </c>
      <c r="I1116" t="str">
        <f>_xlfn.XLOOKUP($C1116,dim_campaigns!$D$2:$D$3,dim_campaigns!$A$2:$A$3,"",0)</f>
        <v>Diwali</v>
      </c>
      <c r="J1116" s="6">
        <f t="shared" si="34"/>
        <v>2.3794871794871795</v>
      </c>
      <c r="K1116">
        <f t="shared" si="35"/>
        <v>4465000</v>
      </c>
      <c r="L1116" t="str">
        <f>VLOOKUP($B1116,dim_stores!$A$1:$C$51,2,0)</f>
        <v>Bengaluru</v>
      </c>
    </row>
    <row r="1117" spans="1:12" x14ac:dyDescent="0.3">
      <c r="A1117" t="s">
        <v>1121</v>
      </c>
      <c r="B1117" t="s">
        <v>75</v>
      </c>
      <c r="C1117" t="s">
        <v>10</v>
      </c>
      <c r="D1117" t="s">
        <v>32</v>
      </c>
      <c r="E1117">
        <v>50</v>
      </c>
      <c r="F1117" t="s">
        <v>17</v>
      </c>
      <c r="G1117">
        <v>25</v>
      </c>
      <c r="H1117">
        <v>20</v>
      </c>
      <c r="I1117" t="str">
        <f>_xlfn.XLOOKUP($C1117,dim_campaigns!$D$2:$D$3,dim_campaigns!$A$2:$A$3,"",0)</f>
        <v>Sankranti</v>
      </c>
      <c r="J1117" s="6">
        <f t="shared" si="34"/>
        <v>-0.2</v>
      </c>
      <c r="K1117">
        <f t="shared" si="35"/>
        <v>2000</v>
      </c>
      <c r="L1117" t="str">
        <f>VLOOKUP($B1117,dim_stores!$A$1:$C$51,2,0)</f>
        <v>Madurai</v>
      </c>
    </row>
    <row r="1118" spans="1:12" x14ac:dyDescent="0.3">
      <c r="A1118" t="s">
        <v>1122</v>
      </c>
      <c r="B1118" t="s">
        <v>29</v>
      </c>
      <c r="C1118" t="s">
        <v>15</v>
      </c>
      <c r="D1118" t="s">
        <v>24</v>
      </c>
      <c r="E1118">
        <v>3000</v>
      </c>
      <c r="F1118" t="s">
        <v>25</v>
      </c>
      <c r="G1118">
        <v>407</v>
      </c>
      <c r="H1118">
        <v>1245</v>
      </c>
      <c r="I1118" t="str">
        <f>_xlfn.XLOOKUP($C1118,dim_campaigns!$D$2:$D$3,dim_campaigns!$A$2:$A$3,"",0)</f>
        <v>Diwali</v>
      </c>
      <c r="J1118" s="6">
        <f t="shared" si="34"/>
        <v>2.058968058968059</v>
      </c>
      <c r="K1118">
        <f t="shared" si="35"/>
        <v>4333500</v>
      </c>
      <c r="L1118" t="str">
        <f>VLOOKUP($B1118,dim_stores!$A$1:$C$51,2,0)</f>
        <v>Bengaluru</v>
      </c>
    </row>
    <row r="1119" spans="1:12" x14ac:dyDescent="0.3">
      <c r="A1119" t="s">
        <v>1123</v>
      </c>
      <c r="B1119" t="s">
        <v>45</v>
      </c>
      <c r="C1119" t="s">
        <v>10</v>
      </c>
      <c r="D1119" t="s">
        <v>48</v>
      </c>
      <c r="E1119">
        <v>62</v>
      </c>
      <c r="F1119" t="s">
        <v>12</v>
      </c>
      <c r="G1119">
        <v>67</v>
      </c>
      <c r="H1119">
        <v>93</v>
      </c>
      <c r="I1119" t="str">
        <f>_xlfn.XLOOKUP($C1119,dim_campaigns!$D$2:$D$3,dim_campaigns!$A$2:$A$3,"",0)</f>
        <v>Sankranti</v>
      </c>
      <c r="J1119" s="6">
        <f t="shared" si="34"/>
        <v>0.38805970149253732</v>
      </c>
      <c r="K1119">
        <f t="shared" si="35"/>
        <v>7037</v>
      </c>
      <c r="L1119" t="str">
        <f>VLOOKUP($B1119,dim_stores!$A$1:$C$51,2,0)</f>
        <v>Hyderabad</v>
      </c>
    </row>
    <row r="1120" spans="1:12" x14ac:dyDescent="0.3">
      <c r="A1120" t="s">
        <v>1124</v>
      </c>
      <c r="B1120" t="s">
        <v>78</v>
      </c>
      <c r="C1120" t="s">
        <v>10</v>
      </c>
      <c r="D1120" t="s">
        <v>85</v>
      </c>
      <c r="E1120">
        <v>90</v>
      </c>
      <c r="F1120" t="s">
        <v>17</v>
      </c>
      <c r="G1120">
        <v>67</v>
      </c>
      <c r="H1120">
        <v>56</v>
      </c>
      <c r="I1120" t="str">
        <f>_xlfn.XLOOKUP($C1120,dim_campaigns!$D$2:$D$3,dim_campaigns!$A$2:$A$3,"",0)</f>
        <v>Sankranti</v>
      </c>
      <c r="J1120" s="6">
        <f t="shared" si="34"/>
        <v>-0.16417910447761194</v>
      </c>
      <c r="K1120">
        <f t="shared" si="35"/>
        <v>9810</v>
      </c>
      <c r="L1120" t="str">
        <f>VLOOKUP($B1120,dim_stores!$A$1:$C$51,2,0)</f>
        <v>Mysuru</v>
      </c>
    </row>
    <row r="1121" spans="1:12" x14ac:dyDescent="0.3">
      <c r="A1121" t="s">
        <v>1125</v>
      </c>
      <c r="B1121" t="s">
        <v>47</v>
      </c>
      <c r="C1121" t="s">
        <v>15</v>
      </c>
      <c r="D1121" t="s">
        <v>53</v>
      </c>
      <c r="E1121">
        <v>860</v>
      </c>
      <c r="F1121" t="s">
        <v>54</v>
      </c>
      <c r="G1121">
        <v>434</v>
      </c>
      <c r="H1121">
        <v>629</v>
      </c>
      <c r="I1121" t="str">
        <f>_xlfn.XLOOKUP($C1121,dim_campaigns!$D$2:$D$3,dim_campaigns!$A$2:$A$3,"",0)</f>
        <v>Diwali</v>
      </c>
      <c r="J1121" s="6">
        <f t="shared" si="34"/>
        <v>0.44930875576036866</v>
      </c>
      <c r="K1121">
        <f t="shared" si="35"/>
        <v>735669.8</v>
      </c>
      <c r="L1121" t="str">
        <f>VLOOKUP($B1121,dim_stores!$A$1:$C$51,2,0)</f>
        <v>Chennai</v>
      </c>
    </row>
    <row r="1122" spans="1:12" x14ac:dyDescent="0.3">
      <c r="A1122">
        <v>652101</v>
      </c>
      <c r="B1122" t="s">
        <v>123</v>
      </c>
      <c r="C1122" t="s">
        <v>15</v>
      </c>
      <c r="D1122" t="s">
        <v>20</v>
      </c>
      <c r="E1122">
        <v>300</v>
      </c>
      <c r="F1122" t="s">
        <v>21</v>
      </c>
      <c r="G1122">
        <v>61</v>
      </c>
      <c r="H1122">
        <v>189</v>
      </c>
      <c r="I1122" t="str">
        <f>_xlfn.XLOOKUP($C1122,dim_campaigns!$D$2:$D$3,dim_campaigns!$A$2:$A$3,"",0)</f>
        <v>Diwali</v>
      </c>
      <c r="J1122" s="6">
        <f t="shared" si="34"/>
        <v>2.098360655737705</v>
      </c>
      <c r="K1122">
        <f t="shared" si="35"/>
        <v>46650</v>
      </c>
      <c r="L1122" t="str">
        <f>VLOOKUP($B1122,dim_stores!$A$1:$C$51,2,0)</f>
        <v>Bengaluru</v>
      </c>
    </row>
    <row r="1123" spans="1:12" x14ac:dyDescent="0.3">
      <c r="A1123" t="s">
        <v>1126</v>
      </c>
      <c r="B1123" t="s">
        <v>56</v>
      </c>
      <c r="C1123" t="s">
        <v>15</v>
      </c>
      <c r="D1123" t="s">
        <v>24</v>
      </c>
      <c r="E1123">
        <v>3000</v>
      </c>
      <c r="F1123" t="s">
        <v>25</v>
      </c>
      <c r="G1123">
        <v>369</v>
      </c>
      <c r="H1123">
        <v>1073</v>
      </c>
      <c r="I1123" t="str">
        <f>_xlfn.XLOOKUP($C1123,dim_campaigns!$D$2:$D$3,dim_campaigns!$A$2:$A$3,"",0)</f>
        <v>Diwali</v>
      </c>
      <c r="J1123" s="6">
        <f t="shared" si="34"/>
        <v>1.9078590785907859</v>
      </c>
      <c r="K1123">
        <f t="shared" si="35"/>
        <v>3789500</v>
      </c>
      <c r="L1123" t="str">
        <f>VLOOKUP($B1123,dim_stores!$A$1:$C$51,2,0)</f>
        <v>Chennai</v>
      </c>
    </row>
    <row r="1124" spans="1:12" x14ac:dyDescent="0.3">
      <c r="A1124" t="s">
        <v>1127</v>
      </c>
      <c r="B1124" t="s">
        <v>70</v>
      </c>
      <c r="C1124" t="s">
        <v>15</v>
      </c>
      <c r="D1124" t="s">
        <v>16</v>
      </c>
      <c r="E1124">
        <v>156</v>
      </c>
      <c r="F1124" t="s">
        <v>17</v>
      </c>
      <c r="G1124">
        <v>369</v>
      </c>
      <c r="H1124">
        <v>332</v>
      </c>
      <c r="I1124" t="str">
        <f>_xlfn.XLOOKUP($C1124,dim_campaigns!$D$2:$D$3,dim_campaigns!$A$2:$A$3,"",0)</f>
        <v>Diwali</v>
      </c>
      <c r="J1124" s="6">
        <f t="shared" si="34"/>
        <v>-0.1002710027100271</v>
      </c>
      <c r="K1124">
        <f t="shared" si="35"/>
        <v>96408</v>
      </c>
      <c r="L1124" t="str">
        <f>VLOOKUP($B1124,dim_stores!$A$1:$C$51,2,0)</f>
        <v>Chennai</v>
      </c>
    </row>
    <row r="1125" spans="1:12" x14ac:dyDescent="0.3">
      <c r="A1125" t="s">
        <v>1128</v>
      </c>
      <c r="B1125" t="s">
        <v>52</v>
      </c>
      <c r="C1125" t="s">
        <v>10</v>
      </c>
      <c r="D1125" t="s">
        <v>85</v>
      </c>
      <c r="E1125">
        <v>90</v>
      </c>
      <c r="F1125" t="s">
        <v>17</v>
      </c>
      <c r="G1125">
        <v>34</v>
      </c>
      <c r="H1125">
        <v>25</v>
      </c>
      <c r="I1125" t="str">
        <f>_xlfn.XLOOKUP($C1125,dim_campaigns!$D$2:$D$3,dim_campaigns!$A$2:$A$3,"",0)</f>
        <v>Sankranti</v>
      </c>
      <c r="J1125" s="6">
        <f t="shared" si="34"/>
        <v>-0.26470588235294118</v>
      </c>
      <c r="K1125">
        <f t="shared" si="35"/>
        <v>4747.5</v>
      </c>
      <c r="L1125" t="str">
        <f>VLOOKUP($B1125,dim_stores!$A$1:$C$51,2,0)</f>
        <v>Visakhapatnam</v>
      </c>
    </row>
    <row r="1126" spans="1:12" x14ac:dyDescent="0.3">
      <c r="A1126" t="s">
        <v>1129</v>
      </c>
      <c r="B1126" t="s">
        <v>89</v>
      </c>
      <c r="C1126" t="s">
        <v>10</v>
      </c>
      <c r="D1126" t="s">
        <v>85</v>
      </c>
      <c r="E1126">
        <v>90</v>
      </c>
      <c r="F1126" t="s">
        <v>17</v>
      </c>
      <c r="G1126">
        <v>37</v>
      </c>
      <c r="H1126">
        <v>26</v>
      </c>
      <c r="I1126" t="str">
        <f>_xlfn.XLOOKUP($C1126,dim_campaigns!$D$2:$D$3,dim_campaigns!$A$2:$A$3,"",0)</f>
        <v>Sankranti</v>
      </c>
      <c r="J1126" s="6">
        <f t="shared" si="34"/>
        <v>-0.29729729729729731</v>
      </c>
      <c r="K1126">
        <f t="shared" si="35"/>
        <v>5085</v>
      </c>
      <c r="L1126" t="str">
        <f>VLOOKUP($B1126,dim_stores!$A$1:$C$51,2,0)</f>
        <v>Vijayawada</v>
      </c>
    </row>
    <row r="1127" spans="1:12" x14ac:dyDescent="0.3">
      <c r="A1127" t="s">
        <v>1130</v>
      </c>
      <c r="B1127" t="s">
        <v>190</v>
      </c>
      <c r="C1127" t="s">
        <v>10</v>
      </c>
      <c r="D1127" t="s">
        <v>43</v>
      </c>
      <c r="E1127">
        <v>415</v>
      </c>
      <c r="F1127" t="s">
        <v>17</v>
      </c>
      <c r="G1127">
        <v>16</v>
      </c>
      <c r="H1127">
        <v>13</v>
      </c>
      <c r="I1127" t="str">
        <f>_xlfn.XLOOKUP($C1127,dim_campaigns!$D$2:$D$3,dim_campaigns!$A$2:$A$3,"",0)</f>
        <v>Sankranti</v>
      </c>
      <c r="J1127" s="6">
        <f t="shared" si="34"/>
        <v>-0.1875</v>
      </c>
      <c r="K1127">
        <f t="shared" si="35"/>
        <v>10686.25</v>
      </c>
      <c r="L1127" t="str">
        <f>VLOOKUP($B1127,dim_stores!$A$1:$C$51,2,0)</f>
        <v>Visakhapatnam</v>
      </c>
    </row>
    <row r="1128" spans="1:12" x14ac:dyDescent="0.3">
      <c r="A1128" t="s">
        <v>1131</v>
      </c>
      <c r="B1128" t="s">
        <v>31</v>
      </c>
      <c r="C1128" t="s">
        <v>15</v>
      </c>
      <c r="D1128" t="s">
        <v>61</v>
      </c>
      <c r="E1128">
        <v>172</v>
      </c>
      <c r="F1128" t="s">
        <v>54</v>
      </c>
      <c r="G1128">
        <v>210</v>
      </c>
      <c r="H1128">
        <v>367</v>
      </c>
      <c r="I1128" t="str">
        <f>_xlfn.XLOOKUP($C1128,dim_campaigns!$D$2:$D$3,dim_campaigns!$A$2:$A$3,"",0)</f>
        <v>Diwali</v>
      </c>
      <c r="J1128" s="6">
        <f t="shared" si="34"/>
        <v>0.74761904761904763</v>
      </c>
      <c r="K1128">
        <f t="shared" si="35"/>
        <v>78413.08</v>
      </c>
      <c r="L1128" t="str">
        <f>VLOOKUP($B1128,dim_stores!$A$1:$C$51,2,0)</f>
        <v>Visakhapatnam</v>
      </c>
    </row>
    <row r="1129" spans="1:12" x14ac:dyDescent="0.3">
      <c r="A1129" t="s">
        <v>1132</v>
      </c>
      <c r="B1129" t="s">
        <v>117</v>
      </c>
      <c r="C1129" t="s">
        <v>10</v>
      </c>
      <c r="D1129" t="s">
        <v>68</v>
      </c>
      <c r="E1129">
        <v>1020</v>
      </c>
      <c r="F1129" t="s">
        <v>21</v>
      </c>
      <c r="G1129">
        <v>51</v>
      </c>
      <c r="H1129">
        <v>198</v>
      </c>
      <c r="I1129" t="str">
        <f>_xlfn.XLOOKUP($C1129,dim_campaigns!$D$2:$D$3,dim_campaigns!$A$2:$A$3,"",0)</f>
        <v>Sankranti</v>
      </c>
      <c r="J1129" s="6">
        <f t="shared" si="34"/>
        <v>2.8823529411764706</v>
      </c>
      <c r="K1129">
        <f t="shared" si="35"/>
        <v>153000</v>
      </c>
      <c r="L1129" t="str">
        <f>VLOOKUP($B1129,dim_stores!$A$1:$C$51,2,0)</f>
        <v>Mangalore</v>
      </c>
    </row>
    <row r="1130" spans="1:12" x14ac:dyDescent="0.3">
      <c r="A1130" t="s">
        <v>1133</v>
      </c>
      <c r="B1130" t="s">
        <v>161</v>
      </c>
      <c r="C1130" t="s">
        <v>10</v>
      </c>
      <c r="D1130" t="s">
        <v>20</v>
      </c>
      <c r="E1130">
        <v>300</v>
      </c>
      <c r="F1130" t="s">
        <v>21</v>
      </c>
      <c r="G1130">
        <v>42</v>
      </c>
      <c r="H1130">
        <v>183</v>
      </c>
      <c r="I1130" t="str">
        <f>_xlfn.XLOOKUP($C1130,dim_campaigns!$D$2:$D$3,dim_campaigns!$A$2:$A$3,"",0)</f>
        <v>Sankranti</v>
      </c>
      <c r="J1130" s="6">
        <f t="shared" si="34"/>
        <v>3.3571428571428572</v>
      </c>
      <c r="K1130">
        <f t="shared" si="35"/>
        <v>40050</v>
      </c>
      <c r="L1130" t="str">
        <f>VLOOKUP($B1130,dim_stores!$A$1:$C$51,2,0)</f>
        <v>Chennai</v>
      </c>
    </row>
    <row r="1131" spans="1:12" x14ac:dyDescent="0.3">
      <c r="A1131" t="s">
        <v>1134</v>
      </c>
      <c r="B1131" t="s">
        <v>60</v>
      </c>
      <c r="C1131" t="s">
        <v>15</v>
      </c>
      <c r="D1131" t="s">
        <v>16</v>
      </c>
      <c r="E1131">
        <v>156</v>
      </c>
      <c r="F1131" t="s">
        <v>17</v>
      </c>
      <c r="G1131">
        <v>187</v>
      </c>
      <c r="H1131">
        <v>181</v>
      </c>
      <c r="I1131" t="str">
        <f>_xlfn.XLOOKUP($C1131,dim_campaigns!$D$2:$D$3,dim_campaigns!$A$2:$A$3,"",0)</f>
        <v>Diwali</v>
      </c>
      <c r="J1131" s="6">
        <f t="shared" si="34"/>
        <v>-3.2085561497326207E-2</v>
      </c>
      <c r="K1131">
        <f t="shared" si="35"/>
        <v>50349</v>
      </c>
      <c r="L1131" t="str">
        <f>VLOOKUP($B1131,dim_stores!$A$1:$C$51,2,0)</f>
        <v>Trivandrum</v>
      </c>
    </row>
    <row r="1132" spans="1:12" x14ac:dyDescent="0.3">
      <c r="A1132" t="s">
        <v>1135</v>
      </c>
      <c r="B1132" t="s">
        <v>50</v>
      </c>
      <c r="C1132" t="s">
        <v>15</v>
      </c>
      <c r="D1132" t="s">
        <v>43</v>
      </c>
      <c r="E1132">
        <v>415</v>
      </c>
      <c r="F1132" t="s">
        <v>17</v>
      </c>
      <c r="G1132">
        <v>91</v>
      </c>
      <c r="H1132">
        <v>72</v>
      </c>
      <c r="I1132" t="str">
        <f>_xlfn.XLOOKUP($C1132,dim_campaigns!$D$2:$D$3,dim_campaigns!$A$2:$A$3,"",0)</f>
        <v>Diwali</v>
      </c>
      <c r="J1132" s="6">
        <f t="shared" si="34"/>
        <v>-0.2087912087912088</v>
      </c>
      <c r="K1132">
        <f t="shared" si="35"/>
        <v>60175</v>
      </c>
      <c r="L1132" t="str">
        <f>VLOOKUP($B1132,dim_stores!$A$1:$C$51,2,0)</f>
        <v>Bengaluru</v>
      </c>
    </row>
    <row r="1133" spans="1:12" x14ac:dyDescent="0.3">
      <c r="A1133" t="s">
        <v>1136</v>
      </c>
      <c r="B1133" t="s">
        <v>126</v>
      </c>
      <c r="C1133" t="s">
        <v>15</v>
      </c>
      <c r="D1133" t="s">
        <v>35</v>
      </c>
      <c r="E1133">
        <v>350</v>
      </c>
      <c r="F1133" t="s">
        <v>21</v>
      </c>
      <c r="G1133">
        <v>40</v>
      </c>
      <c r="H1133">
        <v>119</v>
      </c>
      <c r="I1133" t="str">
        <f>_xlfn.XLOOKUP($C1133,dim_campaigns!$D$2:$D$3,dim_campaigns!$A$2:$A$3,"",0)</f>
        <v>Diwali</v>
      </c>
      <c r="J1133" s="6">
        <f t="shared" si="34"/>
        <v>1.9750000000000001</v>
      </c>
      <c r="K1133">
        <f t="shared" si="35"/>
        <v>34825</v>
      </c>
      <c r="L1133" t="str">
        <f>VLOOKUP($B1133,dim_stores!$A$1:$C$51,2,0)</f>
        <v>Mangalore</v>
      </c>
    </row>
    <row r="1134" spans="1:12" x14ac:dyDescent="0.3">
      <c r="A1134" t="s">
        <v>1137</v>
      </c>
      <c r="B1134" t="s">
        <v>119</v>
      </c>
      <c r="C1134" t="s">
        <v>15</v>
      </c>
      <c r="D1134" t="s">
        <v>43</v>
      </c>
      <c r="E1134">
        <v>415</v>
      </c>
      <c r="F1134" t="s">
        <v>17</v>
      </c>
      <c r="G1134">
        <v>77</v>
      </c>
      <c r="H1134">
        <v>67</v>
      </c>
      <c r="I1134" t="str">
        <f>_xlfn.XLOOKUP($C1134,dim_campaigns!$D$2:$D$3,dim_campaigns!$A$2:$A$3,"",0)</f>
        <v>Diwali</v>
      </c>
      <c r="J1134" s="6">
        <f t="shared" si="34"/>
        <v>-0.12987012987012986</v>
      </c>
      <c r="K1134">
        <f t="shared" si="35"/>
        <v>52808.75</v>
      </c>
      <c r="L1134" t="str">
        <f>VLOOKUP($B1134,dim_stores!$A$1:$C$51,2,0)</f>
        <v>Chennai</v>
      </c>
    </row>
    <row r="1135" spans="1:12" x14ac:dyDescent="0.3">
      <c r="A1135" t="s">
        <v>1138</v>
      </c>
      <c r="B1135" t="s">
        <v>207</v>
      </c>
      <c r="C1135" t="s">
        <v>15</v>
      </c>
      <c r="D1135" t="s">
        <v>43</v>
      </c>
      <c r="E1135">
        <v>415</v>
      </c>
      <c r="F1135" t="s">
        <v>17</v>
      </c>
      <c r="G1135">
        <v>78</v>
      </c>
      <c r="H1135">
        <v>68</v>
      </c>
      <c r="I1135" t="str">
        <f>_xlfn.XLOOKUP($C1135,dim_campaigns!$D$2:$D$3,dim_campaigns!$A$2:$A$3,"",0)</f>
        <v>Diwali</v>
      </c>
      <c r="J1135" s="6">
        <f t="shared" si="34"/>
        <v>-0.12820512820512819</v>
      </c>
      <c r="K1135">
        <f t="shared" si="35"/>
        <v>53535</v>
      </c>
      <c r="L1135" t="str">
        <f>VLOOKUP($B1135,dim_stores!$A$1:$C$51,2,0)</f>
        <v>Hyderabad</v>
      </c>
    </row>
    <row r="1136" spans="1:12" x14ac:dyDescent="0.3">
      <c r="A1136" t="s">
        <v>1139</v>
      </c>
      <c r="B1136" t="s">
        <v>137</v>
      </c>
      <c r="C1136" t="s">
        <v>10</v>
      </c>
      <c r="D1136" t="s">
        <v>28</v>
      </c>
      <c r="E1136">
        <v>55</v>
      </c>
      <c r="F1136" t="s">
        <v>17</v>
      </c>
      <c r="G1136">
        <v>15</v>
      </c>
      <c r="H1136">
        <v>12</v>
      </c>
      <c r="I1136" t="str">
        <f>_xlfn.XLOOKUP($C1136,dim_campaigns!$D$2:$D$3,dim_campaigns!$A$2:$A$3,"",0)</f>
        <v>Sankranti</v>
      </c>
      <c r="J1136" s="6">
        <f t="shared" si="34"/>
        <v>-0.2</v>
      </c>
      <c r="K1136">
        <f t="shared" si="35"/>
        <v>1320</v>
      </c>
      <c r="L1136" t="str">
        <f>VLOOKUP($B1136,dim_stores!$A$1:$C$51,2,0)</f>
        <v>Mangalore</v>
      </c>
    </row>
    <row r="1137" spans="1:12" x14ac:dyDescent="0.3">
      <c r="A1137" t="s">
        <v>1140</v>
      </c>
      <c r="B1137" t="s">
        <v>119</v>
      </c>
      <c r="C1137" t="s">
        <v>10</v>
      </c>
      <c r="D1137" t="s">
        <v>43</v>
      </c>
      <c r="E1137">
        <v>415</v>
      </c>
      <c r="F1137" t="s">
        <v>17</v>
      </c>
      <c r="G1137">
        <v>28</v>
      </c>
      <c r="H1137">
        <v>23</v>
      </c>
      <c r="I1137" t="str">
        <f>_xlfn.XLOOKUP($C1137,dim_campaigns!$D$2:$D$3,dim_campaigns!$A$2:$A$3,"",0)</f>
        <v>Sankranti</v>
      </c>
      <c r="J1137" s="6">
        <f t="shared" si="34"/>
        <v>-0.17857142857142858</v>
      </c>
      <c r="K1137">
        <f t="shared" si="35"/>
        <v>18778.75</v>
      </c>
      <c r="L1137" t="str">
        <f>VLOOKUP($B1137,dim_stores!$A$1:$C$51,2,0)</f>
        <v>Chennai</v>
      </c>
    </row>
    <row r="1138" spans="1:12" x14ac:dyDescent="0.3">
      <c r="A1138" t="s">
        <v>1141</v>
      </c>
      <c r="B1138" t="s">
        <v>212</v>
      </c>
      <c r="C1138" t="s">
        <v>10</v>
      </c>
      <c r="D1138" t="s">
        <v>51</v>
      </c>
      <c r="E1138">
        <v>370</v>
      </c>
      <c r="F1138" t="s">
        <v>21</v>
      </c>
      <c r="G1138">
        <v>382</v>
      </c>
      <c r="H1138">
        <v>1638</v>
      </c>
      <c r="I1138" t="str">
        <f>_xlfn.XLOOKUP($C1138,dim_campaigns!$D$2:$D$3,dim_campaigns!$A$2:$A$3,"",0)</f>
        <v>Sankranti</v>
      </c>
      <c r="J1138" s="6">
        <f t="shared" si="34"/>
        <v>3.2879581151832462</v>
      </c>
      <c r="K1138">
        <f t="shared" si="35"/>
        <v>444370</v>
      </c>
      <c r="L1138" t="str">
        <f>VLOOKUP($B1138,dim_stores!$A$1:$C$51,2,0)</f>
        <v>Bengaluru</v>
      </c>
    </row>
    <row r="1139" spans="1:12" x14ac:dyDescent="0.3">
      <c r="A1139" t="s">
        <v>1142</v>
      </c>
      <c r="B1139" t="s">
        <v>47</v>
      </c>
      <c r="C1139" t="s">
        <v>10</v>
      </c>
      <c r="D1139" t="s">
        <v>32</v>
      </c>
      <c r="E1139">
        <v>50</v>
      </c>
      <c r="F1139" t="s">
        <v>17</v>
      </c>
      <c r="G1139">
        <v>31</v>
      </c>
      <c r="H1139">
        <v>22</v>
      </c>
      <c r="I1139" t="str">
        <f>_xlfn.XLOOKUP($C1139,dim_campaigns!$D$2:$D$3,dim_campaigns!$A$2:$A$3,"",0)</f>
        <v>Sankranti</v>
      </c>
      <c r="J1139" s="6">
        <f t="shared" si="34"/>
        <v>-0.29032258064516131</v>
      </c>
      <c r="K1139">
        <f t="shared" si="35"/>
        <v>2375</v>
      </c>
      <c r="L1139" t="str">
        <f>VLOOKUP($B1139,dim_stores!$A$1:$C$51,2,0)</f>
        <v>Chennai</v>
      </c>
    </row>
    <row r="1140" spans="1:12" x14ac:dyDescent="0.3">
      <c r="A1140" t="s">
        <v>1143</v>
      </c>
      <c r="B1140" t="s">
        <v>23</v>
      </c>
      <c r="C1140" t="s">
        <v>15</v>
      </c>
      <c r="D1140" t="s">
        <v>51</v>
      </c>
      <c r="E1140">
        <v>290</v>
      </c>
      <c r="F1140" t="s">
        <v>17</v>
      </c>
      <c r="G1140">
        <v>227</v>
      </c>
      <c r="H1140">
        <v>172</v>
      </c>
      <c r="I1140" t="str">
        <f>_xlfn.XLOOKUP($C1140,dim_campaigns!$D$2:$D$3,dim_campaigns!$A$2:$A$3,"",0)</f>
        <v>Diwali</v>
      </c>
      <c r="J1140" s="6">
        <f t="shared" si="34"/>
        <v>-0.24229074889867841</v>
      </c>
      <c r="K1140">
        <f t="shared" si="35"/>
        <v>103240</v>
      </c>
      <c r="L1140" t="str">
        <f>VLOOKUP($B1140,dim_stores!$A$1:$C$51,2,0)</f>
        <v>Coimbatore</v>
      </c>
    </row>
    <row r="1141" spans="1:12" x14ac:dyDescent="0.3">
      <c r="A1141" t="s">
        <v>1144</v>
      </c>
      <c r="B1141" t="s">
        <v>139</v>
      </c>
      <c r="C1141" t="s">
        <v>15</v>
      </c>
      <c r="D1141" t="s">
        <v>28</v>
      </c>
      <c r="E1141">
        <v>55</v>
      </c>
      <c r="F1141" t="s">
        <v>17</v>
      </c>
      <c r="G1141">
        <v>71</v>
      </c>
      <c r="H1141">
        <v>63</v>
      </c>
      <c r="I1141" t="str">
        <f>_xlfn.XLOOKUP($C1141,dim_campaigns!$D$2:$D$3,dim_campaigns!$A$2:$A$3,"",0)</f>
        <v>Diwali</v>
      </c>
      <c r="J1141" s="6">
        <f t="shared" si="34"/>
        <v>-0.11267605633802817</v>
      </c>
      <c r="K1141">
        <f t="shared" si="35"/>
        <v>6503.75</v>
      </c>
      <c r="L1141" t="str">
        <f>VLOOKUP($B1141,dim_stores!$A$1:$C$51,2,0)</f>
        <v>Visakhapatnam</v>
      </c>
    </row>
    <row r="1142" spans="1:12" x14ac:dyDescent="0.3">
      <c r="A1142" t="s">
        <v>1145</v>
      </c>
      <c r="B1142" t="s">
        <v>123</v>
      </c>
      <c r="C1142" t="s">
        <v>15</v>
      </c>
      <c r="D1142" t="s">
        <v>68</v>
      </c>
      <c r="E1142">
        <v>1020</v>
      </c>
      <c r="F1142" t="s">
        <v>21</v>
      </c>
      <c r="G1142">
        <v>54</v>
      </c>
      <c r="H1142">
        <v>169</v>
      </c>
      <c r="I1142" t="str">
        <f>_xlfn.XLOOKUP($C1142,dim_campaigns!$D$2:$D$3,dim_campaigns!$A$2:$A$3,"",0)</f>
        <v>Diwali</v>
      </c>
      <c r="J1142" s="6">
        <f t="shared" si="34"/>
        <v>2.1296296296296298</v>
      </c>
      <c r="K1142">
        <f t="shared" si="35"/>
        <v>141270</v>
      </c>
      <c r="L1142" t="str">
        <f>VLOOKUP($B1142,dim_stores!$A$1:$C$51,2,0)</f>
        <v>Bengaluru</v>
      </c>
    </row>
    <row r="1143" spans="1:12" x14ac:dyDescent="0.3">
      <c r="A1143" t="s">
        <v>1146</v>
      </c>
      <c r="B1143" t="s">
        <v>81</v>
      </c>
      <c r="C1143" t="s">
        <v>15</v>
      </c>
      <c r="D1143" t="s">
        <v>28</v>
      </c>
      <c r="E1143">
        <v>55</v>
      </c>
      <c r="F1143" t="s">
        <v>17</v>
      </c>
      <c r="G1143">
        <v>57</v>
      </c>
      <c r="H1143">
        <v>50</v>
      </c>
      <c r="I1143" t="str">
        <f>_xlfn.XLOOKUP($C1143,dim_campaigns!$D$2:$D$3,dim_campaigns!$A$2:$A$3,"",0)</f>
        <v>Diwali</v>
      </c>
      <c r="J1143" s="6">
        <f t="shared" si="34"/>
        <v>-0.12280701754385964</v>
      </c>
      <c r="K1143">
        <f t="shared" si="35"/>
        <v>5197.5</v>
      </c>
      <c r="L1143" t="str">
        <f>VLOOKUP($B1143,dim_stores!$A$1:$C$51,2,0)</f>
        <v>Madurai</v>
      </c>
    </row>
    <row r="1144" spans="1:12" x14ac:dyDescent="0.3">
      <c r="A1144" t="s">
        <v>1147</v>
      </c>
      <c r="B1144" t="s">
        <v>123</v>
      </c>
      <c r="C1144" t="s">
        <v>10</v>
      </c>
      <c r="D1144" t="s">
        <v>20</v>
      </c>
      <c r="E1144">
        <v>300</v>
      </c>
      <c r="F1144" t="s">
        <v>21</v>
      </c>
      <c r="G1144">
        <v>46</v>
      </c>
      <c r="H1144">
        <v>115</v>
      </c>
      <c r="I1144" t="str">
        <f>_xlfn.XLOOKUP($C1144,dim_campaigns!$D$2:$D$3,dim_campaigns!$A$2:$A$3,"",0)</f>
        <v>Sankranti</v>
      </c>
      <c r="J1144" s="6">
        <f t="shared" si="34"/>
        <v>1.5</v>
      </c>
      <c r="K1144">
        <f t="shared" si="35"/>
        <v>31050</v>
      </c>
      <c r="L1144" t="str">
        <f>VLOOKUP($B1144,dim_stores!$A$1:$C$51,2,0)</f>
        <v>Bengaluru</v>
      </c>
    </row>
    <row r="1145" spans="1:12" x14ac:dyDescent="0.3">
      <c r="A1145" t="s">
        <v>1148</v>
      </c>
      <c r="B1145" t="s">
        <v>52</v>
      </c>
      <c r="C1145" t="s">
        <v>10</v>
      </c>
      <c r="D1145" t="s">
        <v>38</v>
      </c>
      <c r="E1145">
        <v>1190</v>
      </c>
      <c r="F1145" t="s">
        <v>21</v>
      </c>
      <c r="G1145">
        <v>25</v>
      </c>
      <c r="H1145">
        <v>64</v>
      </c>
      <c r="I1145" t="str">
        <f>_xlfn.XLOOKUP($C1145,dim_campaigns!$D$2:$D$3,dim_campaigns!$A$2:$A$3,"",0)</f>
        <v>Sankranti</v>
      </c>
      <c r="J1145" s="6">
        <f t="shared" si="34"/>
        <v>1.56</v>
      </c>
      <c r="K1145">
        <f t="shared" si="35"/>
        <v>67830</v>
      </c>
      <c r="L1145" t="str">
        <f>VLOOKUP($B1145,dim_stores!$A$1:$C$51,2,0)</f>
        <v>Visakhapatnam</v>
      </c>
    </row>
    <row r="1146" spans="1:12" x14ac:dyDescent="0.3">
      <c r="A1146" t="s">
        <v>1149</v>
      </c>
      <c r="B1146" t="s">
        <v>89</v>
      </c>
      <c r="C1146" t="s">
        <v>10</v>
      </c>
      <c r="D1146" t="s">
        <v>43</v>
      </c>
      <c r="E1146">
        <v>415</v>
      </c>
      <c r="F1146" t="s">
        <v>17</v>
      </c>
      <c r="G1146">
        <v>16</v>
      </c>
      <c r="H1146">
        <v>11</v>
      </c>
      <c r="I1146" t="str">
        <f>_xlfn.XLOOKUP($C1146,dim_campaigns!$D$2:$D$3,dim_campaigns!$A$2:$A$3,"",0)</f>
        <v>Sankranti</v>
      </c>
      <c r="J1146" s="6">
        <f t="shared" si="34"/>
        <v>-0.3125</v>
      </c>
      <c r="K1146">
        <f t="shared" si="35"/>
        <v>10063.75</v>
      </c>
      <c r="L1146" t="str">
        <f>VLOOKUP($B1146,dim_stores!$A$1:$C$51,2,0)</f>
        <v>Vijayawada</v>
      </c>
    </row>
    <row r="1147" spans="1:12" x14ac:dyDescent="0.3">
      <c r="A1147" t="s">
        <v>1150</v>
      </c>
      <c r="B1147" t="s">
        <v>63</v>
      </c>
      <c r="C1147" t="s">
        <v>15</v>
      </c>
      <c r="D1147" t="s">
        <v>85</v>
      </c>
      <c r="E1147">
        <v>110</v>
      </c>
      <c r="F1147" t="s">
        <v>12</v>
      </c>
      <c r="G1147">
        <v>64</v>
      </c>
      <c r="H1147">
        <v>81</v>
      </c>
      <c r="I1147" t="str">
        <f>_xlfn.XLOOKUP($C1147,dim_campaigns!$D$2:$D$3,dim_campaigns!$A$2:$A$3,"",0)</f>
        <v>Diwali</v>
      </c>
      <c r="J1147" s="6">
        <f t="shared" si="34"/>
        <v>0.265625</v>
      </c>
      <c r="K1147">
        <f t="shared" si="35"/>
        <v>11495</v>
      </c>
      <c r="L1147" t="str">
        <f>VLOOKUP($B1147,dim_stores!$A$1:$C$51,2,0)</f>
        <v>Visakhapatnam</v>
      </c>
    </row>
    <row r="1148" spans="1:12" x14ac:dyDescent="0.3">
      <c r="A1148" t="s">
        <v>1151</v>
      </c>
      <c r="B1148" t="s">
        <v>23</v>
      </c>
      <c r="C1148" t="s">
        <v>10</v>
      </c>
      <c r="D1148" t="s">
        <v>85</v>
      </c>
      <c r="E1148">
        <v>90</v>
      </c>
      <c r="F1148" t="s">
        <v>17</v>
      </c>
      <c r="G1148">
        <v>54</v>
      </c>
      <c r="H1148">
        <v>39</v>
      </c>
      <c r="I1148" t="str">
        <f>_xlfn.XLOOKUP($C1148,dim_campaigns!$D$2:$D$3,dim_campaigns!$A$2:$A$3,"",0)</f>
        <v>Sankranti</v>
      </c>
      <c r="J1148" s="6">
        <f t="shared" si="34"/>
        <v>-0.27777777777777779</v>
      </c>
      <c r="K1148">
        <f t="shared" si="35"/>
        <v>7492.5</v>
      </c>
      <c r="L1148" t="str">
        <f>VLOOKUP($B1148,dim_stores!$A$1:$C$51,2,0)</f>
        <v>Coimbatore</v>
      </c>
    </row>
    <row r="1149" spans="1:12" x14ac:dyDescent="0.3">
      <c r="A1149" t="s">
        <v>1152</v>
      </c>
      <c r="B1149" t="s">
        <v>70</v>
      </c>
      <c r="C1149" t="s">
        <v>10</v>
      </c>
      <c r="D1149" t="s">
        <v>32</v>
      </c>
      <c r="E1149">
        <v>50</v>
      </c>
      <c r="F1149" t="s">
        <v>17</v>
      </c>
      <c r="G1149">
        <v>30</v>
      </c>
      <c r="H1149">
        <v>25</v>
      </c>
      <c r="I1149" t="str">
        <f>_xlfn.XLOOKUP($C1149,dim_campaigns!$D$2:$D$3,dim_campaigns!$A$2:$A$3,"",0)</f>
        <v>Sankranti</v>
      </c>
      <c r="J1149" s="6">
        <f t="shared" si="34"/>
        <v>-0.16666666666666666</v>
      </c>
      <c r="K1149">
        <f t="shared" si="35"/>
        <v>2437.5</v>
      </c>
      <c r="L1149" t="str">
        <f>VLOOKUP($B1149,dim_stores!$A$1:$C$51,2,0)</f>
        <v>Chennai</v>
      </c>
    </row>
    <row r="1150" spans="1:12" x14ac:dyDescent="0.3">
      <c r="A1150" t="s">
        <v>1153</v>
      </c>
      <c r="B1150" t="s">
        <v>42</v>
      </c>
      <c r="C1150" t="s">
        <v>15</v>
      </c>
      <c r="D1150" t="s">
        <v>85</v>
      </c>
      <c r="E1150">
        <v>110</v>
      </c>
      <c r="F1150" t="s">
        <v>12</v>
      </c>
      <c r="G1150">
        <v>64</v>
      </c>
      <c r="H1150">
        <v>84</v>
      </c>
      <c r="I1150" t="str">
        <f>_xlfn.XLOOKUP($C1150,dim_campaigns!$D$2:$D$3,dim_campaigns!$A$2:$A$3,"",0)</f>
        <v>Diwali</v>
      </c>
      <c r="J1150" s="6">
        <f t="shared" si="34"/>
        <v>0.3125</v>
      </c>
      <c r="K1150">
        <f t="shared" si="35"/>
        <v>11660</v>
      </c>
      <c r="L1150" t="str">
        <f>VLOOKUP($B1150,dim_stores!$A$1:$C$51,2,0)</f>
        <v>Mysuru</v>
      </c>
    </row>
    <row r="1151" spans="1:12" x14ac:dyDescent="0.3">
      <c r="A1151" t="s">
        <v>1154</v>
      </c>
      <c r="B1151" t="s">
        <v>207</v>
      </c>
      <c r="C1151" t="s">
        <v>10</v>
      </c>
      <c r="D1151" t="s">
        <v>20</v>
      </c>
      <c r="E1151">
        <v>300</v>
      </c>
      <c r="F1151" t="s">
        <v>21</v>
      </c>
      <c r="G1151">
        <v>52</v>
      </c>
      <c r="H1151">
        <v>204</v>
      </c>
      <c r="I1151" t="str">
        <f>_xlfn.XLOOKUP($C1151,dim_campaigns!$D$2:$D$3,dim_campaigns!$A$2:$A$3,"",0)</f>
        <v>Sankranti</v>
      </c>
      <c r="J1151" s="6">
        <f t="shared" si="34"/>
        <v>2.9230769230769229</v>
      </c>
      <c r="K1151">
        <f t="shared" si="35"/>
        <v>46200</v>
      </c>
      <c r="L1151" t="str">
        <f>VLOOKUP($B1151,dim_stores!$A$1:$C$51,2,0)</f>
        <v>Hyderabad</v>
      </c>
    </row>
    <row r="1152" spans="1:12" x14ac:dyDescent="0.3">
      <c r="A1152" t="s">
        <v>1155</v>
      </c>
      <c r="B1152" t="s">
        <v>50</v>
      </c>
      <c r="C1152" t="s">
        <v>15</v>
      </c>
      <c r="D1152" t="s">
        <v>68</v>
      </c>
      <c r="E1152">
        <v>1020</v>
      </c>
      <c r="F1152" t="s">
        <v>21</v>
      </c>
      <c r="G1152">
        <v>42</v>
      </c>
      <c r="H1152">
        <v>143</v>
      </c>
      <c r="I1152" t="str">
        <f>_xlfn.XLOOKUP($C1152,dim_campaigns!$D$2:$D$3,dim_campaigns!$A$2:$A$3,"",0)</f>
        <v>Diwali</v>
      </c>
      <c r="J1152" s="6">
        <f t="shared" si="34"/>
        <v>2.4047619047619047</v>
      </c>
      <c r="K1152">
        <f t="shared" si="35"/>
        <v>115770</v>
      </c>
      <c r="L1152" t="str">
        <f>VLOOKUP($B1152,dim_stores!$A$1:$C$51,2,0)</f>
        <v>Bengaluru</v>
      </c>
    </row>
    <row r="1153" spans="1:12" x14ac:dyDescent="0.3">
      <c r="A1153" s="1" t="s">
        <v>1156</v>
      </c>
      <c r="B1153" t="s">
        <v>137</v>
      </c>
      <c r="C1153" t="s">
        <v>15</v>
      </c>
      <c r="D1153" t="s">
        <v>43</v>
      </c>
      <c r="E1153">
        <v>415</v>
      </c>
      <c r="F1153" t="s">
        <v>17</v>
      </c>
      <c r="G1153">
        <v>40</v>
      </c>
      <c r="H1153">
        <v>34</v>
      </c>
      <c r="I1153" t="str">
        <f>_xlfn.XLOOKUP($C1153,dim_campaigns!$D$2:$D$3,dim_campaigns!$A$2:$A$3,"",0)</f>
        <v>Diwali</v>
      </c>
      <c r="J1153" s="6">
        <f t="shared" si="34"/>
        <v>-0.15</v>
      </c>
      <c r="K1153">
        <f t="shared" si="35"/>
        <v>27182.5</v>
      </c>
      <c r="L1153" t="str">
        <f>VLOOKUP($B1153,dim_stores!$A$1:$C$51,2,0)</f>
        <v>Mangalore</v>
      </c>
    </row>
    <row r="1154" spans="1:12" x14ac:dyDescent="0.3">
      <c r="A1154" t="s">
        <v>1157</v>
      </c>
      <c r="B1154" t="s">
        <v>58</v>
      </c>
      <c r="C1154" t="s">
        <v>10</v>
      </c>
      <c r="D1154" t="s">
        <v>38</v>
      </c>
      <c r="E1154">
        <v>1190</v>
      </c>
      <c r="F1154" t="s">
        <v>21</v>
      </c>
      <c r="G1154">
        <v>64</v>
      </c>
      <c r="H1154">
        <v>256</v>
      </c>
      <c r="I1154" t="str">
        <f>_xlfn.XLOOKUP($C1154,dim_campaigns!$D$2:$D$3,dim_campaigns!$A$2:$A$3,"",0)</f>
        <v>Sankranti</v>
      </c>
      <c r="J1154" s="6">
        <f t="shared" si="34"/>
        <v>3</v>
      </c>
      <c r="K1154">
        <f t="shared" si="35"/>
        <v>228480</v>
      </c>
      <c r="L1154" t="str">
        <f>VLOOKUP($B1154,dim_stores!$A$1:$C$51,2,0)</f>
        <v>Chennai</v>
      </c>
    </row>
    <row r="1155" spans="1:12" x14ac:dyDescent="0.3">
      <c r="A1155" t="s">
        <v>1158</v>
      </c>
      <c r="B1155" t="s">
        <v>31</v>
      </c>
      <c r="C1155" t="s">
        <v>15</v>
      </c>
      <c r="D1155" t="s">
        <v>51</v>
      </c>
      <c r="E1155">
        <v>290</v>
      </c>
      <c r="F1155" t="s">
        <v>17</v>
      </c>
      <c r="G1155">
        <v>244</v>
      </c>
      <c r="H1155">
        <v>217</v>
      </c>
      <c r="I1155" t="str">
        <f>_xlfn.XLOOKUP($C1155,dim_campaigns!$D$2:$D$3,dim_campaigns!$A$2:$A$3,"",0)</f>
        <v>Diwali</v>
      </c>
      <c r="J1155" s="6">
        <f t="shared" ref="J1155:J1218" si="36">IFERROR((H1155-G1155)/G1155,0)</f>
        <v>-0.11065573770491803</v>
      </c>
      <c r="K1155">
        <f t="shared" ref="K1155:K1218" si="37">E1155*G1155+(E1155-IF(F1155="500 Cashback",500,IF(F1155="BOGOF",E1155*50%,IF(F1155="25% OFF",E1155*25%,IF(F1155="33% OFF",E1155*33%,IF(F1155="50% OFF",E1155*50%,0))))))*H1155</f>
        <v>117957.5</v>
      </c>
      <c r="L1155" t="str">
        <f>VLOOKUP($B1155,dim_stores!$A$1:$C$51,2,0)</f>
        <v>Visakhapatnam</v>
      </c>
    </row>
    <row r="1156" spans="1:12" x14ac:dyDescent="0.3">
      <c r="A1156" t="s">
        <v>1159</v>
      </c>
      <c r="B1156" t="s">
        <v>45</v>
      </c>
      <c r="C1156" t="s">
        <v>10</v>
      </c>
      <c r="D1156" t="s">
        <v>38</v>
      </c>
      <c r="E1156">
        <v>1190</v>
      </c>
      <c r="F1156" t="s">
        <v>21</v>
      </c>
      <c r="G1156">
        <v>43</v>
      </c>
      <c r="H1156">
        <v>166</v>
      </c>
      <c r="I1156" t="str">
        <f>_xlfn.XLOOKUP($C1156,dim_campaigns!$D$2:$D$3,dim_campaigns!$A$2:$A$3,"",0)</f>
        <v>Sankranti</v>
      </c>
      <c r="J1156" s="6">
        <f t="shared" si="36"/>
        <v>2.86046511627907</v>
      </c>
      <c r="K1156">
        <f t="shared" si="37"/>
        <v>149940</v>
      </c>
      <c r="L1156" t="str">
        <f>VLOOKUP($B1156,dim_stores!$A$1:$C$51,2,0)</f>
        <v>Hyderabad</v>
      </c>
    </row>
    <row r="1157" spans="1:12" x14ac:dyDescent="0.3">
      <c r="A1157" t="s">
        <v>1160</v>
      </c>
      <c r="B1157" t="s">
        <v>95</v>
      </c>
      <c r="C1157" t="s">
        <v>15</v>
      </c>
      <c r="D1157" t="s">
        <v>24</v>
      </c>
      <c r="E1157">
        <v>3000</v>
      </c>
      <c r="F1157" t="s">
        <v>25</v>
      </c>
      <c r="G1157">
        <v>400</v>
      </c>
      <c r="H1157">
        <v>1176</v>
      </c>
      <c r="I1157" t="str">
        <f>_xlfn.XLOOKUP($C1157,dim_campaigns!$D$2:$D$3,dim_campaigns!$A$2:$A$3,"",0)</f>
        <v>Diwali</v>
      </c>
      <c r="J1157" s="6">
        <f t="shared" si="36"/>
        <v>1.94</v>
      </c>
      <c r="K1157">
        <f t="shared" si="37"/>
        <v>4140000</v>
      </c>
      <c r="L1157" t="str">
        <f>VLOOKUP($B1157,dim_stores!$A$1:$C$51,2,0)</f>
        <v>Hyderabad</v>
      </c>
    </row>
    <row r="1158" spans="1:12" x14ac:dyDescent="0.3">
      <c r="A1158" t="s">
        <v>1161</v>
      </c>
      <c r="B1158" t="s">
        <v>78</v>
      </c>
      <c r="C1158" t="s">
        <v>15</v>
      </c>
      <c r="D1158" t="s">
        <v>11</v>
      </c>
      <c r="E1158">
        <v>190</v>
      </c>
      <c r="F1158" t="s">
        <v>12</v>
      </c>
      <c r="G1158">
        <v>89</v>
      </c>
      <c r="H1158">
        <v>113</v>
      </c>
      <c r="I1158" t="str">
        <f>_xlfn.XLOOKUP($C1158,dim_campaigns!$D$2:$D$3,dim_campaigns!$A$2:$A$3,"",0)</f>
        <v>Diwali</v>
      </c>
      <c r="J1158" s="6">
        <f t="shared" si="36"/>
        <v>0.2696629213483146</v>
      </c>
      <c r="K1158">
        <f t="shared" si="37"/>
        <v>27645</v>
      </c>
      <c r="L1158" t="str">
        <f>VLOOKUP($B1158,dim_stores!$A$1:$C$51,2,0)</f>
        <v>Mysuru</v>
      </c>
    </row>
    <row r="1159" spans="1:12" x14ac:dyDescent="0.3">
      <c r="A1159" t="s">
        <v>1162</v>
      </c>
      <c r="B1159" t="s">
        <v>45</v>
      </c>
      <c r="C1159" t="s">
        <v>15</v>
      </c>
      <c r="D1159" t="s">
        <v>35</v>
      </c>
      <c r="E1159">
        <v>350</v>
      </c>
      <c r="F1159" t="s">
        <v>21</v>
      </c>
      <c r="G1159">
        <v>77</v>
      </c>
      <c r="H1159">
        <v>260</v>
      </c>
      <c r="I1159" t="str">
        <f>_xlfn.XLOOKUP($C1159,dim_campaigns!$D$2:$D$3,dim_campaigns!$A$2:$A$3,"",0)</f>
        <v>Diwali</v>
      </c>
      <c r="J1159" s="6">
        <f t="shared" si="36"/>
        <v>2.3766233766233764</v>
      </c>
      <c r="K1159">
        <f t="shared" si="37"/>
        <v>72450</v>
      </c>
      <c r="L1159" t="str">
        <f>VLOOKUP($B1159,dim_stores!$A$1:$C$51,2,0)</f>
        <v>Hyderabad</v>
      </c>
    </row>
    <row r="1160" spans="1:12" x14ac:dyDescent="0.3">
      <c r="A1160" t="s">
        <v>1163</v>
      </c>
      <c r="B1160" t="s">
        <v>81</v>
      </c>
      <c r="C1160" t="s">
        <v>10</v>
      </c>
      <c r="D1160" t="s">
        <v>68</v>
      </c>
      <c r="E1160">
        <v>1020</v>
      </c>
      <c r="F1160" t="s">
        <v>21</v>
      </c>
      <c r="G1160">
        <v>79</v>
      </c>
      <c r="H1160">
        <v>349</v>
      </c>
      <c r="I1160" t="str">
        <f>_xlfn.XLOOKUP($C1160,dim_campaigns!$D$2:$D$3,dim_campaigns!$A$2:$A$3,"",0)</f>
        <v>Sankranti</v>
      </c>
      <c r="J1160" s="6">
        <f t="shared" si="36"/>
        <v>3.4177215189873418</v>
      </c>
      <c r="K1160">
        <f t="shared" si="37"/>
        <v>258570</v>
      </c>
      <c r="L1160" t="str">
        <f>VLOOKUP($B1160,dim_stores!$A$1:$C$51,2,0)</f>
        <v>Madurai</v>
      </c>
    </row>
    <row r="1161" spans="1:12" x14ac:dyDescent="0.3">
      <c r="A1161" t="s">
        <v>1164</v>
      </c>
      <c r="B1161" t="s">
        <v>117</v>
      </c>
      <c r="C1161" t="s">
        <v>15</v>
      </c>
      <c r="D1161" t="s">
        <v>85</v>
      </c>
      <c r="E1161">
        <v>110</v>
      </c>
      <c r="F1161" t="s">
        <v>12</v>
      </c>
      <c r="G1161">
        <v>38</v>
      </c>
      <c r="H1161">
        <v>50</v>
      </c>
      <c r="I1161" t="str">
        <f>_xlfn.XLOOKUP($C1161,dim_campaigns!$D$2:$D$3,dim_campaigns!$A$2:$A$3,"",0)</f>
        <v>Diwali</v>
      </c>
      <c r="J1161" s="6">
        <f t="shared" si="36"/>
        <v>0.31578947368421051</v>
      </c>
      <c r="K1161">
        <f t="shared" si="37"/>
        <v>6930</v>
      </c>
      <c r="L1161" t="str">
        <f>VLOOKUP($B1161,dim_stores!$A$1:$C$51,2,0)</f>
        <v>Mangalore</v>
      </c>
    </row>
    <row r="1162" spans="1:12" x14ac:dyDescent="0.3">
      <c r="A1162" t="s">
        <v>1165</v>
      </c>
      <c r="B1162" t="s">
        <v>23</v>
      </c>
      <c r="C1162" t="s">
        <v>15</v>
      </c>
      <c r="D1162" t="s">
        <v>28</v>
      </c>
      <c r="E1162">
        <v>55</v>
      </c>
      <c r="F1162" t="s">
        <v>17</v>
      </c>
      <c r="G1162">
        <v>61</v>
      </c>
      <c r="H1162">
        <v>50</v>
      </c>
      <c r="I1162" t="str">
        <f>_xlfn.XLOOKUP($C1162,dim_campaigns!$D$2:$D$3,dim_campaigns!$A$2:$A$3,"",0)</f>
        <v>Diwali</v>
      </c>
      <c r="J1162" s="6">
        <f t="shared" si="36"/>
        <v>-0.18032786885245902</v>
      </c>
      <c r="K1162">
        <f t="shared" si="37"/>
        <v>5417.5</v>
      </c>
      <c r="L1162" t="str">
        <f>VLOOKUP($B1162,dim_stores!$A$1:$C$51,2,0)</f>
        <v>Coimbatore</v>
      </c>
    </row>
    <row r="1163" spans="1:12" x14ac:dyDescent="0.3">
      <c r="A1163" t="s">
        <v>1166</v>
      </c>
      <c r="B1163" t="s">
        <v>60</v>
      </c>
      <c r="C1163" t="s">
        <v>10</v>
      </c>
      <c r="D1163" t="s">
        <v>51</v>
      </c>
      <c r="E1163">
        <v>370</v>
      </c>
      <c r="F1163" t="s">
        <v>21</v>
      </c>
      <c r="G1163">
        <v>187</v>
      </c>
      <c r="H1163">
        <v>733</v>
      </c>
      <c r="I1163" t="str">
        <f>_xlfn.XLOOKUP($C1163,dim_campaigns!$D$2:$D$3,dim_campaigns!$A$2:$A$3,"",0)</f>
        <v>Sankranti</v>
      </c>
      <c r="J1163" s="6">
        <f t="shared" si="36"/>
        <v>2.9197860962566846</v>
      </c>
      <c r="K1163">
        <f t="shared" si="37"/>
        <v>204795</v>
      </c>
      <c r="L1163" t="str">
        <f>VLOOKUP($B1163,dim_stores!$A$1:$C$51,2,0)</f>
        <v>Trivandrum</v>
      </c>
    </row>
    <row r="1164" spans="1:12" x14ac:dyDescent="0.3">
      <c r="A1164" t="s">
        <v>1167</v>
      </c>
      <c r="B1164" t="s">
        <v>23</v>
      </c>
      <c r="C1164" t="s">
        <v>15</v>
      </c>
      <c r="D1164" t="s">
        <v>38</v>
      </c>
      <c r="E1164">
        <v>1190</v>
      </c>
      <c r="F1164" t="s">
        <v>21</v>
      </c>
      <c r="G1164">
        <v>40</v>
      </c>
      <c r="H1164">
        <v>140</v>
      </c>
      <c r="I1164" t="str">
        <f>_xlfn.XLOOKUP($C1164,dim_campaigns!$D$2:$D$3,dim_campaigns!$A$2:$A$3,"",0)</f>
        <v>Diwali</v>
      </c>
      <c r="J1164" s="6">
        <f t="shared" si="36"/>
        <v>2.5</v>
      </c>
      <c r="K1164">
        <f t="shared" si="37"/>
        <v>130900</v>
      </c>
      <c r="L1164" t="str">
        <f>VLOOKUP($B1164,dim_stores!$A$1:$C$51,2,0)</f>
        <v>Coimbatore</v>
      </c>
    </row>
    <row r="1165" spans="1:12" x14ac:dyDescent="0.3">
      <c r="A1165" t="s">
        <v>1168</v>
      </c>
      <c r="B1165" t="s">
        <v>45</v>
      </c>
      <c r="C1165" t="s">
        <v>15</v>
      </c>
      <c r="D1165" t="s">
        <v>51</v>
      </c>
      <c r="E1165">
        <v>290</v>
      </c>
      <c r="F1165" t="s">
        <v>17</v>
      </c>
      <c r="G1165">
        <v>390</v>
      </c>
      <c r="H1165">
        <v>339</v>
      </c>
      <c r="I1165" t="str">
        <f>_xlfn.XLOOKUP($C1165,dim_campaigns!$D$2:$D$3,dim_campaigns!$A$2:$A$3,"",0)</f>
        <v>Diwali</v>
      </c>
      <c r="J1165" s="6">
        <f t="shared" si="36"/>
        <v>-0.13076923076923078</v>
      </c>
      <c r="K1165">
        <f t="shared" si="37"/>
        <v>186832.5</v>
      </c>
      <c r="L1165" t="str">
        <f>VLOOKUP($B1165,dim_stores!$A$1:$C$51,2,0)</f>
        <v>Hyderabad</v>
      </c>
    </row>
    <row r="1166" spans="1:12" x14ac:dyDescent="0.3">
      <c r="A1166" t="s">
        <v>1169</v>
      </c>
      <c r="B1166" t="s">
        <v>60</v>
      </c>
      <c r="C1166" t="s">
        <v>15</v>
      </c>
      <c r="D1166" t="s">
        <v>24</v>
      </c>
      <c r="E1166">
        <v>3000</v>
      </c>
      <c r="F1166" t="s">
        <v>25</v>
      </c>
      <c r="G1166">
        <v>190</v>
      </c>
      <c r="H1166">
        <v>547</v>
      </c>
      <c r="I1166" t="str">
        <f>_xlfn.XLOOKUP($C1166,dim_campaigns!$D$2:$D$3,dim_campaigns!$A$2:$A$3,"",0)</f>
        <v>Diwali</v>
      </c>
      <c r="J1166" s="6">
        <f t="shared" si="36"/>
        <v>1.8789473684210527</v>
      </c>
      <c r="K1166">
        <f t="shared" si="37"/>
        <v>1937500</v>
      </c>
      <c r="L1166" t="str">
        <f>VLOOKUP($B1166,dim_stores!$A$1:$C$51,2,0)</f>
        <v>Trivandrum</v>
      </c>
    </row>
    <row r="1167" spans="1:12" x14ac:dyDescent="0.3">
      <c r="A1167" t="s">
        <v>1170</v>
      </c>
      <c r="B1167" t="s">
        <v>99</v>
      </c>
      <c r="C1167" t="s">
        <v>10</v>
      </c>
      <c r="D1167" t="s">
        <v>32</v>
      </c>
      <c r="E1167">
        <v>50</v>
      </c>
      <c r="F1167" t="s">
        <v>17</v>
      </c>
      <c r="G1167">
        <v>28</v>
      </c>
      <c r="H1167">
        <v>22</v>
      </c>
      <c r="I1167" t="str">
        <f>_xlfn.XLOOKUP($C1167,dim_campaigns!$D$2:$D$3,dim_campaigns!$A$2:$A$3,"",0)</f>
        <v>Sankranti</v>
      </c>
      <c r="J1167" s="6">
        <f t="shared" si="36"/>
        <v>-0.21428571428571427</v>
      </c>
      <c r="K1167">
        <f t="shared" si="37"/>
        <v>2225</v>
      </c>
      <c r="L1167" t="str">
        <f>VLOOKUP($B1167,dim_stores!$A$1:$C$51,2,0)</f>
        <v>Coimbatore</v>
      </c>
    </row>
    <row r="1168" spans="1:12" x14ac:dyDescent="0.3">
      <c r="A1168" t="s">
        <v>1171</v>
      </c>
      <c r="B1168" t="s">
        <v>29</v>
      </c>
      <c r="C1168" t="s">
        <v>15</v>
      </c>
      <c r="D1168" t="s">
        <v>85</v>
      </c>
      <c r="E1168">
        <v>110</v>
      </c>
      <c r="F1168" t="s">
        <v>12</v>
      </c>
      <c r="G1168">
        <v>89</v>
      </c>
      <c r="H1168">
        <v>116</v>
      </c>
      <c r="I1168" t="str">
        <f>_xlfn.XLOOKUP($C1168,dim_campaigns!$D$2:$D$3,dim_campaigns!$A$2:$A$3,"",0)</f>
        <v>Diwali</v>
      </c>
      <c r="J1168" s="6">
        <f t="shared" si="36"/>
        <v>0.30337078651685395</v>
      </c>
      <c r="K1168">
        <f t="shared" si="37"/>
        <v>16170</v>
      </c>
      <c r="L1168" t="str">
        <f>VLOOKUP($B1168,dim_stores!$A$1:$C$51,2,0)</f>
        <v>Bengaluru</v>
      </c>
    </row>
    <row r="1169" spans="1:12" x14ac:dyDescent="0.3">
      <c r="A1169" t="s">
        <v>1172</v>
      </c>
      <c r="B1169" t="s">
        <v>42</v>
      </c>
      <c r="C1169" t="s">
        <v>15</v>
      </c>
      <c r="D1169" t="s">
        <v>38</v>
      </c>
      <c r="E1169">
        <v>1190</v>
      </c>
      <c r="F1169" t="s">
        <v>21</v>
      </c>
      <c r="G1169">
        <v>42</v>
      </c>
      <c r="H1169">
        <v>123</v>
      </c>
      <c r="I1169" t="str">
        <f>_xlfn.XLOOKUP($C1169,dim_campaigns!$D$2:$D$3,dim_campaigns!$A$2:$A$3,"",0)</f>
        <v>Diwali</v>
      </c>
      <c r="J1169" s="6">
        <f t="shared" si="36"/>
        <v>1.9285714285714286</v>
      </c>
      <c r="K1169">
        <f t="shared" si="37"/>
        <v>123165</v>
      </c>
      <c r="L1169" t="str">
        <f>VLOOKUP($B1169,dim_stores!$A$1:$C$51,2,0)</f>
        <v>Mysuru</v>
      </c>
    </row>
    <row r="1170" spans="1:12" x14ac:dyDescent="0.3">
      <c r="A1170" t="s">
        <v>1173</v>
      </c>
      <c r="B1170" t="s">
        <v>29</v>
      </c>
      <c r="C1170" t="s">
        <v>10</v>
      </c>
      <c r="D1170" t="s">
        <v>61</v>
      </c>
      <c r="E1170">
        <v>172</v>
      </c>
      <c r="F1170" t="s">
        <v>54</v>
      </c>
      <c r="G1170">
        <v>286</v>
      </c>
      <c r="H1170">
        <v>394</v>
      </c>
      <c r="I1170" t="str">
        <f>_xlfn.XLOOKUP($C1170,dim_campaigns!$D$2:$D$3,dim_campaigns!$A$2:$A$3,"",0)</f>
        <v>Sankranti</v>
      </c>
      <c r="J1170" s="6">
        <f t="shared" si="36"/>
        <v>0.3776223776223776</v>
      </c>
      <c r="K1170">
        <f t="shared" si="37"/>
        <v>94596.56</v>
      </c>
      <c r="L1170" t="str">
        <f>VLOOKUP($B1170,dim_stores!$A$1:$C$51,2,0)</f>
        <v>Bengaluru</v>
      </c>
    </row>
    <row r="1171" spans="1:12" x14ac:dyDescent="0.3">
      <c r="A1171" t="s">
        <v>1174</v>
      </c>
      <c r="B1171" t="s">
        <v>75</v>
      </c>
      <c r="C1171" t="s">
        <v>10</v>
      </c>
      <c r="D1171" t="s">
        <v>16</v>
      </c>
      <c r="E1171">
        <v>200</v>
      </c>
      <c r="F1171" t="s">
        <v>21</v>
      </c>
      <c r="G1171">
        <v>273</v>
      </c>
      <c r="H1171">
        <v>1097</v>
      </c>
      <c r="I1171" t="str">
        <f>_xlfn.XLOOKUP($C1171,dim_campaigns!$D$2:$D$3,dim_campaigns!$A$2:$A$3,"",0)</f>
        <v>Sankranti</v>
      </c>
      <c r="J1171" s="6">
        <f t="shared" si="36"/>
        <v>3.0183150183150182</v>
      </c>
      <c r="K1171">
        <f t="shared" si="37"/>
        <v>164300</v>
      </c>
      <c r="L1171" t="str">
        <f>VLOOKUP($B1171,dim_stores!$A$1:$C$51,2,0)</f>
        <v>Madurai</v>
      </c>
    </row>
    <row r="1172" spans="1:12" x14ac:dyDescent="0.3">
      <c r="A1172" t="s">
        <v>1175</v>
      </c>
      <c r="B1172" t="s">
        <v>81</v>
      </c>
      <c r="C1172" t="s">
        <v>10</v>
      </c>
      <c r="D1172" t="s">
        <v>48</v>
      </c>
      <c r="E1172">
        <v>62</v>
      </c>
      <c r="F1172" t="s">
        <v>12</v>
      </c>
      <c r="G1172">
        <v>46</v>
      </c>
      <c r="H1172">
        <v>66</v>
      </c>
      <c r="I1172" t="str">
        <f>_xlfn.XLOOKUP($C1172,dim_campaigns!$D$2:$D$3,dim_campaigns!$A$2:$A$3,"",0)</f>
        <v>Sankranti</v>
      </c>
      <c r="J1172" s="6">
        <f t="shared" si="36"/>
        <v>0.43478260869565216</v>
      </c>
      <c r="K1172">
        <f t="shared" si="37"/>
        <v>4898</v>
      </c>
      <c r="L1172" t="str">
        <f>VLOOKUP($B1172,dim_stores!$A$1:$C$51,2,0)</f>
        <v>Madurai</v>
      </c>
    </row>
    <row r="1173" spans="1:12" x14ac:dyDescent="0.3">
      <c r="A1173" t="s">
        <v>1176</v>
      </c>
      <c r="B1173" t="s">
        <v>47</v>
      </c>
      <c r="C1173" t="s">
        <v>10</v>
      </c>
      <c r="D1173" t="s">
        <v>53</v>
      </c>
      <c r="E1173">
        <v>860</v>
      </c>
      <c r="F1173" t="s">
        <v>54</v>
      </c>
      <c r="G1173">
        <v>463</v>
      </c>
      <c r="H1173">
        <v>629</v>
      </c>
      <c r="I1173" t="str">
        <f>_xlfn.XLOOKUP($C1173,dim_campaigns!$D$2:$D$3,dim_campaigns!$A$2:$A$3,"",0)</f>
        <v>Sankranti</v>
      </c>
      <c r="J1173" s="6">
        <f t="shared" si="36"/>
        <v>0.35853131749460043</v>
      </c>
      <c r="K1173">
        <f t="shared" si="37"/>
        <v>760609.8</v>
      </c>
      <c r="L1173" t="str">
        <f>VLOOKUP($B1173,dim_stores!$A$1:$C$51,2,0)</f>
        <v>Chennai</v>
      </c>
    </row>
    <row r="1174" spans="1:12" x14ac:dyDescent="0.3">
      <c r="A1174" t="s">
        <v>1177</v>
      </c>
      <c r="B1174" t="s">
        <v>31</v>
      </c>
      <c r="C1174" t="s">
        <v>10</v>
      </c>
      <c r="D1174" t="s">
        <v>28</v>
      </c>
      <c r="E1174">
        <v>55</v>
      </c>
      <c r="F1174" t="s">
        <v>17</v>
      </c>
      <c r="G1174">
        <v>15</v>
      </c>
      <c r="H1174">
        <v>12</v>
      </c>
      <c r="I1174" t="str">
        <f>_xlfn.XLOOKUP($C1174,dim_campaigns!$D$2:$D$3,dim_campaigns!$A$2:$A$3,"",0)</f>
        <v>Sankranti</v>
      </c>
      <c r="J1174" s="6">
        <f t="shared" si="36"/>
        <v>-0.2</v>
      </c>
      <c r="K1174">
        <f t="shared" si="37"/>
        <v>1320</v>
      </c>
      <c r="L1174" t="str">
        <f>VLOOKUP($B1174,dim_stores!$A$1:$C$51,2,0)</f>
        <v>Visakhapatnam</v>
      </c>
    </row>
    <row r="1175" spans="1:12" x14ac:dyDescent="0.3">
      <c r="A1175" t="s">
        <v>1178</v>
      </c>
      <c r="B1175" t="s">
        <v>103</v>
      </c>
      <c r="C1175" t="s">
        <v>10</v>
      </c>
      <c r="D1175" t="s">
        <v>28</v>
      </c>
      <c r="E1175">
        <v>55</v>
      </c>
      <c r="F1175" t="s">
        <v>17</v>
      </c>
      <c r="G1175">
        <v>25</v>
      </c>
      <c r="H1175">
        <v>21</v>
      </c>
      <c r="I1175" t="str">
        <f>_xlfn.XLOOKUP($C1175,dim_campaigns!$D$2:$D$3,dim_campaigns!$A$2:$A$3,"",0)</f>
        <v>Sankranti</v>
      </c>
      <c r="J1175" s="6">
        <f t="shared" si="36"/>
        <v>-0.16</v>
      </c>
      <c r="K1175">
        <f t="shared" si="37"/>
        <v>2241.25</v>
      </c>
      <c r="L1175" t="str">
        <f>VLOOKUP($B1175,dim_stores!$A$1:$C$51,2,0)</f>
        <v>Hyderabad</v>
      </c>
    </row>
    <row r="1176" spans="1:12" x14ac:dyDescent="0.3">
      <c r="A1176" t="s">
        <v>1179</v>
      </c>
      <c r="B1176" t="s">
        <v>113</v>
      </c>
      <c r="C1176" t="s">
        <v>10</v>
      </c>
      <c r="D1176" t="s">
        <v>24</v>
      </c>
      <c r="E1176">
        <v>3000</v>
      </c>
      <c r="F1176" t="s">
        <v>25</v>
      </c>
      <c r="G1176">
        <v>136</v>
      </c>
      <c r="H1176">
        <v>242</v>
      </c>
      <c r="I1176" t="str">
        <f>_xlfn.XLOOKUP($C1176,dim_campaigns!$D$2:$D$3,dim_campaigns!$A$2:$A$3,"",0)</f>
        <v>Sankranti</v>
      </c>
      <c r="J1176" s="6">
        <f t="shared" si="36"/>
        <v>0.77941176470588236</v>
      </c>
      <c r="K1176">
        <f t="shared" si="37"/>
        <v>1013000</v>
      </c>
      <c r="L1176" t="str">
        <f>VLOOKUP($B1176,dim_stores!$A$1:$C$51,2,0)</f>
        <v>Chennai</v>
      </c>
    </row>
    <row r="1177" spans="1:12" x14ac:dyDescent="0.3">
      <c r="A1177" s="1" t="s">
        <v>1180</v>
      </c>
      <c r="B1177" t="s">
        <v>56</v>
      </c>
      <c r="C1177" t="s">
        <v>10</v>
      </c>
      <c r="D1177" t="s">
        <v>32</v>
      </c>
      <c r="E1177">
        <v>50</v>
      </c>
      <c r="F1177" t="s">
        <v>17</v>
      </c>
      <c r="G1177">
        <v>34</v>
      </c>
      <c r="H1177">
        <v>30</v>
      </c>
      <c r="I1177" t="str">
        <f>_xlfn.XLOOKUP($C1177,dim_campaigns!$D$2:$D$3,dim_campaigns!$A$2:$A$3,"",0)</f>
        <v>Sankranti</v>
      </c>
      <c r="J1177" s="6">
        <f t="shared" si="36"/>
        <v>-0.11764705882352941</v>
      </c>
      <c r="K1177">
        <f t="shared" si="37"/>
        <v>2825</v>
      </c>
      <c r="L1177" t="str">
        <f>VLOOKUP($B1177,dim_stores!$A$1:$C$51,2,0)</f>
        <v>Chennai</v>
      </c>
    </row>
    <row r="1178" spans="1:12" x14ac:dyDescent="0.3">
      <c r="A1178" t="s">
        <v>1181</v>
      </c>
      <c r="B1178" t="s">
        <v>34</v>
      </c>
      <c r="C1178" t="s">
        <v>15</v>
      </c>
      <c r="D1178" t="s">
        <v>24</v>
      </c>
      <c r="E1178">
        <v>3000</v>
      </c>
      <c r="F1178" t="s">
        <v>25</v>
      </c>
      <c r="G1178">
        <v>323</v>
      </c>
      <c r="H1178">
        <v>965</v>
      </c>
      <c r="I1178" t="str">
        <f>_xlfn.XLOOKUP($C1178,dim_campaigns!$D$2:$D$3,dim_campaigns!$A$2:$A$3,"",0)</f>
        <v>Diwali</v>
      </c>
      <c r="J1178" s="6">
        <f t="shared" si="36"/>
        <v>1.9876160990712075</v>
      </c>
      <c r="K1178">
        <f t="shared" si="37"/>
        <v>3381500</v>
      </c>
      <c r="L1178" t="str">
        <f>VLOOKUP($B1178,dim_stores!$A$1:$C$51,2,0)</f>
        <v>Hyderabad</v>
      </c>
    </row>
    <row r="1179" spans="1:12" x14ac:dyDescent="0.3">
      <c r="A1179" t="s">
        <v>1182</v>
      </c>
      <c r="B1179" t="s">
        <v>142</v>
      </c>
      <c r="C1179" t="s">
        <v>15</v>
      </c>
      <c r="D1179" t="s">
        <v>32</v>
      </c>
      <c r="E1179">
        <v>65</v>
      </c>
      <c r="F1179" t="s">
        <v>12</v>
      </c>
      <c r="G1179">
        <v>94</v>
      </c>
      <c r="H1179">
        <v>120</v>
      </c>
      <c r="I1179" t="str">
        <f>_xlfn.XLOOKUP($C1179,dim_campaigns!$D$2:$D$3,dim_campaigns!$A$2:$A$3,"",0)</f>
        <v>Diwali</v>
      </c>
      <c r="J1179" s="6">
        <f t="shared" si="36"/>
        <v>0.27659574468085107</v>
      </c>
      <c r="K1179">
        <f t="shared" si="37"/>
        <v>10010</v>
      </c>
      <c r="L1179" t="str">
        <f>VLOOKUP($B1179,dim_stores!$A$1:$C$51,2,0)</f>
        <v>Madurai</v>
      </c>
    </row>
    <row r="1180" spans="1:12" x14ac:dyDescent="0.3">
      <c r="A1180" t="s">
        <v>1183</v>
      </c>
      <c r="B1180" t="s">
        <v>75</v>
      </c>
      <c r="C1180" t="s">
        <v>10</v>
      </c>
      <c r="D1180" t="s">
        <v>24</v>
      </c>
      <c r="E1180">
        <v>3000</v>
      </c>
      <c r="F1180" t="s">
        <v>25</v>
      </c>
      <c r="G1180">
        <v>120</v>
      </c>
      <c r="H1180">
        <v>274</v>
      </c>
      <c r="I1180" t="str">
        <f>_xlfn.XLOOKUP($C1180,dim_campaigns!$D$2:$D$3,dim_campaigns!$A$2:$A$3,"",0)</f>
        <v>Sankranti</v>
      </c>
      <c r="J1180" s="6">
        <f t="shared" si="36"/>
        <v>1.2833333333333334</v>
      </c>
      <c r="K1180">
        <f t="shared" si="37"/>
        <v>1045000</v>
      </c>
      <c r="L1180" t="str">
        <f>VLOOKUP($B1180,dim_stores!$A$1:$C$51,2,0)</f>
        <v>Madurai</v>
      </c>
    </row>
    <row r="1181" spans="1:12" x14ac:dyDescent="0.3">
      <c r="A1181" t="s">
        <v>1184</v>
      </c>
      <c r="B1181" t="s">
        <v>34</v>
      </c>
      <c r="C1181" t="s">
        <v>15</v>
      </c>
      <c r="D1181" t="s">
        <v>43</v>
      </c>
      <c r="E1181">
        <v>415</v>
      </c>
      <c r="F1181" t="s">
        <v>17</v>
      </c>
      <c r="G1181">
        <v>96</v>
      </c>
      <c r="H1181">
        <v>92</v>
      </c>
      <c r="I1181" t="str">
        <f>_xlfn.XLOOKUP($C1181,dim_campaigns!$D$2:$D$3,dim_campaigns!$A$2:$A$3,"",0)</f>
        <v>Diwali</v>
      </c>
      <c r="J1181" s="6">
        <f t="shared" si="36"/>
        <v>-4.1666666666666664E-2</v>
      </c>
      <c r="K1181">
        <f t="shared" si="37"/>
        <v>68475</v>
      </c>
      <c r="L1181" t="str">
        <f>VLOOKUP($B1181,dim_stores!$A$1:$C$51,2,0)</f>
        <v>Hyderabad</v>
      </c>
    </row>
    <row r="1182" spans="1:12" x14ac:dyDescent="0.3">
      <c r="A1182" t="s">
        <v>1185</v>
      </c>
      <c r="B1182" t="s">
        <v>99</v>
      </c>
      <c r="C1182" t="s">
        <v>10</v>
      </c>
      <c r="D1182" t="s">
        <v>11</v>
      </c>
      <c r="E1182">
        <v>190</v>
      </c>
      <c r="F1182" t="s">
        <v>12</v>
      </c>
      <c r="G1182">
        <v>33</v>
      </c>
      <c r="H1182">
        <v>50</v>
      </c>
      <c r="I1182" t="str">
        <f>_xlfn.XLOOKUP($C1182,dim_campaigns!$D$2:$D$3,dim_campaigns!$A$2:$A$3,"",0)</f>
        <v>Sankranti</v>
      </c>
      <c r="J1182" s="6">
        <f t="shared" si="36"/>
        <v>0.51515151515151514</v>
      </c>
      <c r="K1182">
        <f t="shared" si="37"/>
        <v>11020</v>
      </c>
      <c r="L1182" t="str">
        <f>VLOOKUP($B1182,dim_stores!$A$1:$C$51,2,0)</f>
        <v>Coimbatore</v>
      </c>
    </row>
    <row r="1183" spans="1:12" x14ac:dyDescent="0.3">
      <c r="A1183" t="s">
        <v>1186</v>
      </c>
      <c r="B1183" t="s">
        <v>212</v>
      </c>
      <c r="C1183" t="s">
        <v>15</v>
      </c>
      <c r="D1183" t="s">
        <v>35</v>
      </c>
      <c r="E1183">
        <v>350</v>
      </c>
      <c r="F1183" t="s">
        <v>21</v>
      </c>
      <c r="G1183">
        <v>85</v>
      </c>
      <c r="H1183">
        <v>338</v>
      </c>
      <c r="I1183" t="str">
        <f>_xlfn.XLOOKUP($C1183,dim_campaigns!$D$2:$D$3,dim_campaigns!$A$2:$A$3,"",0)</f>
        <v>Diwali</v>
      </c>
      <c r="J1183" s="6">
        <f t="shared" si="36"/>
        <v>2.9764705882352942</v>
      </c>
      <c r="K1183">
        <f t="shared" si="37"/>
        <v>88900</v>
      </c>
      <c r="L1183" t="str">
        <f>VLOOKUP($B1183,dim_stores!$A$1:$C$51,2,0)</f>
        <v>Bengaluru</v>
      </c>
    </row>
    <row r="1184" spans="1:12" x14ac:dyDescent="0.3">
      <c r="A1184" t="s">
        <v>1187</v>
      </c>
      <c r="B1184" t="s">
        <v>70</v>
      </c>
      <c r="C1184" t="s">
        <v>15</v>
      </c>
      <c r="D1184" t="s">
        <v>43</v>
      </c>
      <c r="E1184">
        <v>415</v>
      </c>
      <c r="F1184" t="s">
        <v>17</v>
      </c>
      <c r="G1184">
        <v>91</v>
      </c>
      <c r="H1184">
        <v>80</v>
      </c>
      <c r="I1184" t="str">
        <f>_xlfn.XLOOKUP($C1184,dim_campaigns!$D$2:$D$3,dim_campaigns!$A$2:$A$3,"",0)</f>
        <v>Diwali</v>
      </c>
      <c r="J1184" s="6">
        <f t="shared" si="36"/>
        <v>-0.12087912087912088</v>
      </c>
      <c r="K1184">
        <f t="shared" si="37"/>
        <v>62665</v>
      </c>
      <c r="L1184" t="str">
        <f>VLOOKUP($B1184,dim_stores!$A$1:$C$51,2,0)</f>
        <v>Chennai</v>
      </c>
    </row>
    <row r="1185" spans="1:12" x14ac:dyDescent="0.3">
      <c r="A1185" t="s">
        <v>1188</v>
      </c>
      <c r="B1185" t="s">
        <v>78</v>
      </c>
      <c r="C1185" t="s">
        <v>15</v>
      </c>
      <c r="D1185" t="s">
        <v>20</v>
      </c>
      <c r="E1185">
        <v>300</v>
      </c>
      <c r="F1185" t="s">
        <v>21</v>
      </c>
      <c r="G1185">
        <v>61</v>
      </c>
      <c r="H1185">
        <v>189</v>
      </c>
      <c r="I1185" t="str">
        <f>_xlfn.XLOOKUP($C1185,dim_campaigns!$D$2:$D$3,dim_campaigns!$A$2:$A$3,"",0)</f>
        <v>Diwali</v>
      </c>
      <c r="J1185" s="6">
        <f t="shared" si="36"/>
        <v>2.098360655737705</v>
      </c>
      <c r="K1185">
        <f t="shared" si="37"/>
        <v>46650</v>
      </c>
      <c r="L1185" t="str">
        <f>VLOOKUP($B1185,dim_stores!$A$1:$C$51,2,0)</f>
        <v>Mysuru</v>
      </c>
    </row>
    <row r="1186" spans="1:12" x14ac:dyDescent="0.3">
      <c r="A1186" t="s">
        <v>1189</v>
      </c>
      <c r="B1186" t="s">
        <v>65</v>
      </c>
      <c r="C1186" t="s">
        <v>15</v>
      </c>
      <c r="D1186" t="s">
        <v>53</v>
      </c>
      <c r="E1186">
        <v>860</v>
      </c>
      <c r="F1186" t="s">
        <v>54</v>
      </c>
      <c r="G1186">
        <v>386</v>
      </c>
      <c r="H1186">
        <v>594</v>
      </c>
      <c r="I1186" t="str">
        <f>_xlfn.XLOOKUP($C1186,dim_campaigns!$D$2:$D$3,dim_campaigns!$A$2:$A$3,"",0)</f>
        <v>Diwali</v>
      </c>
      <c r="J1186" s="6">
        <f t="shared" si="36"/>
        <v>0.53886010362694303</v>
      </c>
      <c r="K1186">
        <f t="shared" si="37"/>
        <v>674222.8</v>
      </c>
      <c r="L1186" t="str">
        <f>VLOOKUP($B1186,dim_stores!$A$1:$C$51,2,0)</f>
        <v>Hyderabad</v>
      </c>
    </row>
    <row r="1187" spans="1:12" x14ac:dyDescent="0.3">
      <c r="A1187" t="s">
        <v>1190</v>
      </c>
      <c r="B1187" t="s">
        <v>70</v>
      </c>
      <c r="C1187" t="s">
        <v>10</v>
      </c>
      <c r="D1187" t="s">
        <v>51</v>
      </c>
      <c r="E1187">
        <v>370</v>
      </c>
      <c r="F1187" t="s">
        <v>21</v>
      </c>
      <c r="G1187">
        <v>379</v>
      </c>
      <c r="H1187">
        <v>1603</v>
      </c>
      <c r="I1187" t="str">
        <f>_xlfn.XLOOKUP($C1187,dim_campaigns!$D$2:$D$3,dim_campaigns!$A$2:$A$3,"",0)</f>
        <v>Sankranti</v>
      </c>
      <c r="J1187" s="6">
        <f t="shared" si="36"/>
        <v>3.2295514511873349</v>
      </c>
      <c r="K1187">
        <f t="shared" si="37"/>
        <v>436785</v>
      </c>
      <c r="L1187" t="str">
        <f>VLOOKUP($B1187,dim_stores!$A$1:$C$51,2,0)</f>
        <v>Chennai</v>
      </c>
    </row>
    <row r="1188" spans="1:12" x14ac:dyDescent="0.3">
      <c r="A1188" t="s">
        <v>1191</v>
      </c>
      <c r="B1188" t="s">
        <v>119</v>
      </c>
      <c r="C1188" t="s">
        <v>15</v>
      </c>
      <c r="D1188" t="s">
        <v>48</v>
      </c>
      <c r="E1188">
        <v>62</v>
      </c>
      <c r="F1188" t="s">
        <v>12</v>
      </c>
      <c r="G1188">
        <v>103</v>
      </c>
      <c r="H1188">
        <v>129</v>
      </c>
      <c r="I1188" t="str">
        <f>_xlfn.XLOOKUP($C1188,dim_campaigns!$D$2:$D$3,dim_campaigns!$A$2:$A$3,"",0)</f>
        <v>Diwali</v>
      </c>
      <c r="J1188" s="6">
        <f t="shared" si="36"/>
        <v>0.25242718446601942</v>
      </c>
      <c r="K1188">
        <f t="shared" si="37"/>
        <v>10385</v>
      </c>
      <c r="L1188" t="str">
        <f>VLOOKUP($B1188,dim_stores!$A$1:$C$51,2,0)</f>
        <v>Chennai</v>
      </c>
    </row>
    <row r="1189" spans="1:12" x14ac:dyDescent="0.3">
      <c r="A1189" t="s">
        <v>1192</v>
      </c>
      <c r="B1189" t="s">
        <v>115</v>
      </c>
      <c r="C1189" t="s">
        <v>10</v>
      </c>
      <c r="D1189" t="s">
        <v>61</v>
      </c>
      <c r="E1189">
        <v>172</v>
      </c>
      <c r="F1189" t="s">
        <v>54</v>
      </c>
      <c r="G1189">
        <v>319</v>
      </c>
      <c r="H1189">
        <v>449</v>
      </c>
      <c r="I1189" t="str">
        <f>_xlfn.XLOOKUP($C1189,dim_campaigns!$D$2:$D$3,dim_campaigns!$A$2:$A$3,"",0)</f>
        <v>Sankranti</v>
      </c>
      <c r="J1189" s="6">
        <f t="shared" si="36"/>
        <v>0.40752351097178685</v>
      </c>
      <c r="K1189">
        <f t="shared" si="37"/>
        <v>106610.76</v>
      </c>
      <c r="L1189" t="str">
        <f>VLOOKUP($B1189,dim_stores!$A$1:$C$51,2,0)</f>
        <v>Bengaluru</v>
      </c>
    </row>
    <row r="1190" spans="1:12" x14ac:dyDescent="0.3">
      <c r="A1190" t="s">
        <v>1193</v>
      </c>
      <c r="B1190" t="s">
        <v>103</v>
      </c>
      <c r="C1190" t="s">
        <v>10</v>
      </c>
      <c r="D1190" t="s">
        <v>61</v>
      </c>
      <c r="E1190">
        <v>172</v>
      </c>
      <c r="F1190" t="s">
        <v>54</v>
      </c>
      <c r="G1190">
        <v>312</v>
      </c>
      <c r="H1190">
        <v>393</v>
      </c>
      <c r="I1190" t="str">
        <f>_xlfn.XLOOKUP($C1190,dim_campaigns!$D$2:$D$3,dim_campaigns!$A$2:$A$3,"",0)</f>
        <v>Sankranti</v>
      </c>
      <c r="J1190" s="6">
        <f t="shared" si="36"/>
        <v>0.25961538461538464</v>
      </c>
      <c r="K1190">
        <f t="shared" si="37"/>
        <v>98953.32</v>
      </c>
      <c r="L1190" t="str">
        <f>VLOOKUP($B1190,dim_stores!$A$1:$C$51,2,0)</f>
        <v>Hyderabad</v>
      </c>
    </row>
    <row r="1191" spans="1:12" x14ac:dyDescent="0.3">
      <c r="A1191" t="s">
        <v>1194</v>
      </c>
      <c r="B1191" t="s">
        <v>29</v>
      </c>
      <c r="C1191" t="s">
        <v>10</v>
      </c>
      <c r="D1191" t="s">
        <v>28</v>
      </c>
      <c r="E1191">
        <v>55</v>
      </c>
      <c r="F1191" t="s">
        <v>17</v>
      </c>
      <c r="G1191">
        <v>19</v>
      </c>
      <c r="H1191">
        <v>15</v>
      </c>
      <c r="I1191" t="str">
        <f>_xlfn.XLOOKUP($C1191,dim_campaigns!$D$2:$D$3,dim_campaigns!$A$2:$A$3,"",0)</f>
        <v>Sankranti</v>
      </c>
      <c r="J1191" s="6">
        <f t="shared" si="36"/>
        <v>-0.21052631578947367</v>
      </c>
      <c r="K1191">
        <f t="shared" si="37"/>
        <v>1663.75</v>
      </c>
      <c r="L1191" t="str">
        <f>VLOOKUP($B1191,dim_stores!$A$1:$C$51,2,0)</f>
        <v>Bengaluru</v>
      </c>
    </row>
    <row r="1192" spans="1:12" x14ac:dyDescent="0.3">
      <c r="A1192" t="s">
        <v>1195</v>
      </c>
      <c r="B1192" t="s">
        <v>14</v>
      </c>
      <c r="C1192" t="s">
        <v>10</v>
      </c>
      <c r="D1192" t="s">
        <v>32</v>
      </c>
      <c r="E1192">
        <v>50</v>
      </c>
      <c r="F1192" t="s">
        <v>17</v>
      </c>
      <c r="G1192">
        <v>36</v>
      </c>
      <c r="H1192">
        <v>26</v>
      </c>
      <c r="I1192" t="str">
        <f>_xlfn.XLOOKUP($C1192,dim_campaigns!$D$2:$D$3,dim_campaigns!$A$2:$A$3,"",0)</f>
        <v>Sankranti</v>
      </c>
      <c r="J1192" s="6">
        <f t="shared" si="36"/>
        <v>-0.27777777777777779</v>
      </c>
      <c r="K1192">
        <f t="shared" si="37"/>
        <v>2775</v>
      </c>
      <c r="L1192" t="str">
        <f>VLOOKUP($B1192,dim_stores!$A$1:$C$51,2,0)</f>
        <v>Bengaluru</v>
      </c>
    </row>
    <row r="1193" spans="1:12" x14ac:dyDescent="0.3">
      <c r="A1193">
        <v>115760</v>
      </c>
      <c r="B1193" t="s">
        <v>40</v>
      </c>
      <c r="C1193" t="s">
        <v>15</v>
      </c>
      <c r="D1193" t="s">
        <v>20</v>
      </c>
      <c r="E1193">
        <v>300</v>
      </c>
      <c r="F1193" t="s">
        <v>21</v>
      </c>
      <c r="G1193">
        <v>43</v>
      </c>
      <c r="H1193">
        <v>147</v>
      </c>
      <c r="I1193" t="str">
        <f>_xlfn.XLOOKUP($C1193,dim_campaigns!$D$2:$D$3,dim_campaigns!$A$2:$A$3,"",0)</f>
        <v>Diwali</v>
      </c>
      <c r="J1193" s="6">
        <f t="shared" si="36"/>
        <v>2.4186046511627906</v>
      </c>
      <c r="K1193">
        <f t="shared" si="37"/>
        <v>34950</v>
      </c>
      <c r="L1193" t="str">
        <f>VLOOKUP($B1193,dim_stores!$A$1:$C$51,2,0)</f>
        <v>Madurai</v>
      </c>
    </row>
    <row r="1194" spans="1:12" x14ac:dyDescent="0.3">
      <c r="A1194" t="s">
        <v>1196</v>
      </c>
      <c r="B1194" t="s">
        <v>70</v>
      </c>
      <c r="C1194" t="s">
        <v>10</v>
      </c>
      <c r="D1194" t="s">
        <v>61</v>
      </c>
      <c r="E1194">
        <v>172</v>
      </c>
      <c r="F1194" t="s">
        <v>54</v>
      </c>
      <c r="G1194">
        <v>235</v>
      </c>
      <c r="H1194">
        <v>329</v>
      </c>
      <c r="I1194" t="str">
        <f>_xlfn.XLOOKUP($C1194,dim_campaigns!$D$2:$D$3,dim_campaigns!$A$2:$A$3,"",0)</f>
        <v>Sankranti</v>
      </c>
      <c r="J1194" s="6">
        <f t="shared" si="36"/>
        <v>0.4</v>
      </c>
      <c r="K1194">
        <f t="shared" si="37"/>
        <v>78333.959999999992</v>
      </c>
      <c r="L1194" t="str">
        <f>VLOOKUP($B1194,dim_stores!$A$1:$C$51,2,0)</f>
        <v>Chennai</v>
      </c>
    </row>
    <row r="1195" spans="1:12" x14ac:dyDescent="0.3">
      <c r="A1195" t="s">
        <v>1197</v>
      </c>
      <c r="B1195" t="s">
        <v>212</v>
      </c>
      <c r="C1195" t="s">
        <v>10</v>
      </c>
      <c r="D1195" t="s">
        <v>16</v>
      </c>
      <c r="E1195">
        <v>200</v>
      </c>
      <c r="F1195" t="s">
        <v>21</v>
      </c>
      <c r="G1195">
        <v>433</v>
      </c>
      <c r="H1195">
        <v>1883</v>
      </c>
      <c r="I1195" t="str">
        <f>_xlfn.XLOOKUP($C1195,dim_campaigns!$D$2:$D$3,dim_campaigns!$A$2:$A$3,"",0)</f>
        <v>Sankranti</v>
      </c>
      <c r="J1195" s="6">
        <f t="shared" si="36"/>
        <v>3.3487297921478061</v>
      </c>
      <c r="K1195">
        <f t="shared" si="37"/>
        <v>274900</v>
      </c>
      <c r="L1195" t="str">
        <f>VLOOKUP($B1195,dim_stores!$A$1:$C$51,2,0)</f>
        <v>Bengaluru</v>
      </c>
    </row>
    <row r="1196" spans="1:12" x14ac:dyDescent="0.3">
      <c r="A1196" t="s">
        <v>1198</v>
      </c>
      <c r="B1196" t="s">
        <v>107</v>
      </c>
      <c r="C1196" t="s">
        <v>10</v>
      </c>
      <c r="D1196" t="s">
        <v>38</v>
      </c>
      <c r="E1196">
        <v>1190</v>
      </c>
      <c r="F1196" t="s">
        <v>21</v>
      </c>
      <c r="G1196">
        <v>42</v>
      </c>
      <c r="H1196">
        <v>167</v>
      </c>
      <c r="I1196" t="str">
        <f>_xlfn.XLOOKUP($C1196,dim_campaigns!$D$2:$D$3,dim_campaigns!$A$2:$A$3,"",0)</f>
        <v>Sankranti</v>
      </c>
      <c r="J1196" s="6">
        <f t="shared" si="36"/>
        <v>2.9761904761904763</v>
      </c>
      <c r="K1196">
        <f t="shared" si="37"/>
        <v>149345</v>
      </c>
      <c r="L1196" t="str">
        <f>VLOOKUP($B1196,dim_stores!$A$1:$C$51,2,0)</f>
        <v>Coimbatore</v>
      </c>
    </row>
    <row r="1197" spans="1:12" x14ac:dyDescent="0.3">
      <c r="A1197" t="s">
        <v>1199</v>
      </c>
      <c r="B1197" t="s">
        <v>110</v>
      </c>
      <c r="C1197" t="s">
        <v>15</v>
      </c>
      <c r="D1197" t="s">
        <v>28</v>
      </c>
      <c r="E1197">
        <v>55</v>
      </c>
      <c r="F1197" t="s">
        <v>17</v>
      </c>
      <c r="G1197">
        <v>119</v>
      </c>
      <c r="H1197">
        <v>107</v>
      </c>
      <c r="I1197" t="str">
        <f>_xlfn.XLOOKUP($C1197,dim_campaigns!$D$2:$D$3,dim_campaigns!$A$2:$A$3,"",0)</f>
        <v>Diwali</v>
      </c>
      <c r="J1197" s="6">
        <f t="shared" si="36"/>
        <v>-0.10084033613445378</v>
      </c>
      <c r="K1197">
        <f t="shared" si="37"/>
        <v>10958.75</v>
      </c>
      <c r="L1197" t="str">
        <f>VLOOKUP($B1197,dim_stores!$A$1:$C$51,2,0)</f>
        <v>Chennai</v>
      </c>
    </row>
    <row r="1198" spans="1:12" x14ac:dyDescent="0.3">
      <c r="A1198" t="s">
        <v>1200</v>
      </c>
      <c r="B1198" t="s">
        <v>139</v>
      </c>
      <c r="C1198" t="s">
        <v>15</v>
      </c>
      <c r="D1198" t="s">
        <v>35</v>
      </c>
      <c r="E1198">
        <v>350</v>
      </c>
      <c r="F1198" t="s">
        <v>21</v>
      </c>
      <c r="G1198">
        <v>57</v>
      </c>
      <c r="H1198">
        <v>178</v>
      </c>
      <c r="I1198" t="str">
        <f>_xlfn.XLOOKUP($C1198,dim_campaigns!$D$2:$D$3,dim_campaigns!$A$2:$A$3,"",0)</f>
        <v>Diwali</v>
      </c>
      <c r="J1198" s="6">
        <f t="shared" si="36"/>
        <v>2.1228070175438596</v>
      </c>
      <c r="K1198">
        <f t="shared" si="37"/>
        <v>51100</v>
      </c>
      <c r="L1198" t="str">
        <f>VLOOKUP($B1198,dim_stores!$A$1:$C$51,2,0)</f>
        <v>Visakhapatnam</v>
      </c>
    </row>
    <row r="1199" spans="1:12" x14ac:dyDescent="0.3">
      <c r="A1199" t="s">
        <v>1201</v>
      </c>
      <c r="B1199" t="s">
        <v>84</v>
      </c>
      <c r="C1199" t="s">
        <v>10</v>
      </c>
      <c r="D1199" t="s">
        <v>53</v>
      </c>
      <c r="E1199">
        <v>860</v>
      </c>
      <c r="F1199" t="s">
        <v>54</v>
      </c>
      <c r="G1199">
        <v>595</v>
      </c>
      <c r="H1199">
        <v>886</v>
      </c>
      <c r="I1199" t="str">
        <f>_xlfn.XLOOKUP($C1199,dim_campaigns!$D$2:$D$3,dim_campaigns!$A$2:$A$3,"",0)</f>
        <v>Sankranti</v>
      </c>
      <c r="J1199" s="6">
        <f t="shared" si="36"/>
        <v>0.48907563025210082</v>
      </c>
      <c r="K1199">
        <f t="shared" si="37"/>
        <v>1022213.2</v>
      </c>
      <c r="L1199" t="str">
        <f>VLOOKUP($B1199,dim_stores!$A$1:$C$51,2,0)</f>
        <v>Mysuru</v>
      </c>
    </row>
    <row r="1200" spans="1:12" x14ac:dyDescent="0.3">
      <c r="A1200" t="s">
        <v>1202</v>
      </c>
      <c r="B1200" t="s">
        <v>193</v>
      </c>
      <c r="C1200" t="s">
        <v>15</v>
      </c>
      <c r="D1200" t="s">
        <v>11</v>
      </c>
      <c r="E1200">
        <v>190</v>
      </c>
      <c r="F1200" t="s">
        <v>12</v>
      </c>
      <c r="G1200">
        <v>101</v>
      </c>
      <c r="H1200">
        <v>131</v>
      </c>
      <c r="I1200" t="str">
        <f>_xlfn.XLOOKUP($C1200,dim_campaigns!$D$2:$D$3,dim_campaigns!$A$2:$A$3,"",0)</f>
        <v>Diwali</v>
      </c>
      <c r="J1200" s="6">
        <f t="shared" si="36"/>
        <v>0.29702970297029702</v>
      </c>
      <c r="K1200">
        <f t="shared" si="37"/>
        <v>31635</v>
      </c>
      <c r="L1200" t="str">
        <f>VLOOKUP($B1200,dim_stores!$A$1:$C$51,2,0)</f>
        <v>Bengaluru</v>
      </c>
    </row>
    <row r="1201" spans="1:12" x14ac:dyDescent="0.3">
      <c r="A1201" t="s">
        <v>1203</v>
      </c>
      <c r="B1201" t="s">
        <v>19</v>
      </c>
      <c r="C1201" t="s">
        <v>15</v>
      </c>
      <c r="D1201" t="s">
        <v>51</v>
      </c>
      <c r="E1201">
        <v>290</v>
      </c>
      <c r="F1201" t="s">
        <v>17</v>
      </c>
      <c r="G1201">
        <v>192</v>
      </c>
      <c r="H1201">
        <v>188</v>
      </c>
      <c r="I1201" t="str">
        <f>_xlfn.XLOOKUP($C1201,dim_campaigns!$D$2:$D$3,dim_campaigns!$A$2:$A$3,"",0)</f>
        <v>Diwali</v>
      </c>
      <c r="J1201" s="6">
        <f t="shared" si="36"/>
        <v>-2.0833333333333332E-2</v>
      </c>
      <c r="K1201">
        <f t="shared" si="37"/>
        <v>96570</v>
      </c>
      <c r="L1201" t="str">
        <f>VLOOKUP($B1201,dim_stores!$A$1:$C$51,2,0)</f>
        <v>Vijayawada</v>
      </c>
    </row>
    <row r="1202" spans="1:12" x14ac:dyDescent="0.3">
      <c r="A1202" t="s">
        <v>1204</v>
      </c>
      <c r="B1202" t="s">
        <v>14</v>
      </c>
      <c r="C1202" t="s">
        <v>15</v>
      </c>
      <c r="D1202" t="s">
        <v>43</v>
      </c>
      <c r="E1202">
        <v>415</v>
      </c>
      <c r="F1202" t="s">
        <v>17</v>
      </c>
      <c r="G1202">
        <v>78</v>
      </c>
      <c r="H1202">
        <v>62</v>
      </c>
      <c r="I1202" t="str">
        <f>_xlfn.XLOOKUP($C1202,dim_campaigns!$D$2:$D$3,dim_campaigns!$A$2:$A$3,"",0)</f>
        <v>Diwali</v>
      </c>
      <c r="J1202" s="6">
        <f t="shared" si="36"/>
        <v>-0.20512820512820512</v>
      </c>
      <c r="K1202">
        <f t="shared" si="37"/>
        <v>51667.5</v>
      </c>
      <c r="L1202" t="str">
        <f>VLOOKUP($B1202,dim_stores!$A$1:$C$51,2,0)</f>
        <v>Bengaluru</v>
      </c>
    </row>
    <row r="1203" spans="1:12" x14ac:dyDescent="0.3">
      <c r="A1203" t="s">
        <v>1205</v>
      </c>
      <c r="B1203" t="s">
        <v>207</v>
      </c>
      <c r="C1203" t="s">
        <v>10</v>
      </c>
      <c r="D1203" t="s">
        <v>16</v>
      </c>
      <c r="E1203">
        <v>200</v>
      </c>
      <c r="F1203" t="s">
        <v>21</v>
      </c>
      <c r="G1203">
        <v>363</v>
      </c>
      <c r="H1203">
        <v>1408</v>
      </c>
      <c r="I1203" t="str">
        <f>_xlfn.XLOOKUP($C1203,dim_campaigns!$D$2:$D$3,dim_campaigns!$A$2:$A$3,"",0)</f>
        <v>Sankranti</v>
      </c>
      <c r="J1203" s="6">
        <f t="shared" si="36"/>
        <v>2.8787878787878789</v>
      </c>
      <c r="K1203">
        <f t="shared" si="37"/>
        <v>213400</v>
      </c>
      <c r="L1203" t="str">
        <f>VLOOKUP($B1203,dim_stores!$A$1:$C$51,2,0)</f>
        <v>Hyderabad</v>
      </c>
    </row>
    <row r="1204" spans="1:12" x14ac:dyDescent="0.3">
      <c r="A1204">
        <v>21006</v>
      </c>
      <c r="B1204" t="s">
        <v>31</v>
      </c>
      <c r="C1204" t="s">
        <v>10</v>
      </c>
      <c r="D1204" t="s">
        <v>16</v>
      </c>
      <c r="E1204">
        <v>200</v>
      </c>
      <c r="F1204" t="s">
        <v>21</v>
      </c>
      <c r="G1204">
        <v>192</v>
      </c>
      <c r="H1204">
        <v>754</v>
      </c>
      <c r="I1204" t="str">
        <f>_xlfn.XLOOKUP($C1204,dim_campaigns!$D$2:$D$3,dim_campaigns!$A$2:$A$3,"",0)</f>
        <v>Sankranti</v>
      </c>
      <c r="J1204" s="6">
        <f t="shared" si="36"/>
        <v>2.9270833333333335</v>
      </c>
      <c r="K1204">
        <f t="shared" si="37"/>
        <v>113800</v>
      </c>
      <c r="L1204" t="str">
        <f>VLOOKUP($B1204,dim_stores!$A$1:$C$51,2,0)</f>
        <v>Visakhapatnam</v>
      </c>
    </row>
    <row r="1205" spans="1:12" x14ac:dyDescent="0.3">
      <c r="A1205" t="s">
        <v>1206</v>
      </c>
      <c r="B1205" t="s">
        <v>117</v>
      </c>
      <c r="C1205" t="s">
        <v>10</v>
      </c>
      <c r="D1205" t="s">
        <v>53</v>
      </c>
      <c r="E1205">
        <v>860</v>
      </c>
      <c r="F1205" t="s">
        <v>54</v>
      </c>
      <c r="G1205">
        <v>237</v>
      </c>
      <c r="H1205">
        <v>327</v>
      </c>
      <c r="I1205" t="str">
        <f>_xlfn.XLOOKUP($C1205,dim_campaigns!$D$2:$D$3,dim_campaigns!$A$2:$A$3,"",0)</f>
        <v>Sankranti</v>
      </c>
      <c r="J1205" s="6">
        <f t="shared" si="36"/>
        <v>0.379746835443038</v>
      </c>
      <c r="K1205">
        <f t="shared" si="37"/>
        <v>392237.4</v>
      </c>
      <c r="L1205" t="str">
        <f>VLOOKUP($B1205,dim_stores!$A$1:$C$51,2,0)</f>
        <v>Mangalore</v>
      </c>
    </row>
    <row r="1206" spans="1:12" x14ac:dyDescent="0.3">
      <c r="A1206" t="s">
        <v>1207</v>
      </c>
      <c r="B1206" t="s">
        <v>37</v>
      </c>
      <c r="C1206" t="s">
        <v>10</v>
      </c>
      <c r="D1206" t="s">
        <v>68</v>
      </c>
      <c r="E1206">
        <v>1020</v>
      </c>
      <c r="F1206" t="s">
        <v>21</v>
      </c>
      <c r="G1206">
        <v>93</v>
      </c>
      <c r="H1206">
        <v>234</v>
      </c>
      <c r="I1206" t="str">
        <f>_xlfn.XLOOKUP($C1206,dim_campaigns!$D$2:$D$3,dim_campaigns!$A$2:$A$3,"",0)</f>
        <v>Sankranti</v>
      </c>
      <c r="J1206" s="6">
        <f t="shared" si="36"/>
        <v>1.5161290322580645</v>
      </c>
      <c r="K1206">
        <f t="shared" si="37"/>
        <v>214200</v>
      </c>
      <c r="L1206" t="str">
        <f>VLOOKUP($B1206,dim_stores!$A$1:$C$51,2,0)</f>
        <v>Coimbatore</v>
      </c>
    </row>
    <row r="1207" spans="1:12" x14ac:dyDescent="0.3">
      <c r="A1207" t="s">
        <v>1208</v>
      </c>
      <c r="B1207" t="s">
        <v>78</v>
      </c>
      <c r="C1207" t="s">
        <v>10</v>
      </c>
      <c r="D1207" t="s">
        <v>24</v>
      </c>
      <c r="E1207">
        <v>3000</v>
      </c>
      <c r="F1207" t="s">
        <v>25</v>
      </c>
      <c r="G1207">
        <v>105</v>
      </c>
      <c r="H1207">
        <v>173</v>
      </c>
      <c r="I1207" t="str">
        <f>_xlfn.XLOOKUP($C1207,dim_campaigns!$D$2:$D$3,dim_campaigns!$A$2:$A$3,"",0)</f>
        <v>Sankranti</v>
      </c>
      <c r="J1207" s="6">
        <f t="shared" si="36"/>
        <v>0.64761904761904765</v>
      </c>
      <c r="K1207">
        <f t="shared" si="37"/>
        <v>747500</v>
      </c>
      <c r="L1207" t="str">
        <f>VLOOKUP($B1207,dim_stores!$A$1:$C$51,2,0)</f>
        <v>Mysuru</v>
      </c>
    </row>
    <row r="1208" spans="1:12" x14ac:dyDescent="0.3">
      <c r="A1208" t="s">
        <v>1209</v>
      </c>
      <c r="B1208" t="s">
        <v>115</v>
      </c>
      <c r="C1208" t="s">
        <v>15</v>
      </c>
      <c r="D1208" t="s">
        <v>24</v>
      </c>
      <c r="E1208">
        <v>3000</v>
      </c>
      <c r="F1208" t="s">
        <v>25</v>
      </c>
      <c r="G1208">
        <v>358</v>
      </c>
      <c r="H1208">
        <v>1070</v>
      </c>
      <c r="I1208" t="str">
        <f>_xlfn.XLOOKUP($C1208,dim_campaigns!$D$2:$D$3,dim_campaigns!$A$2:$A$3,"",0)</f>
        <v>Diwali</v>
      </c>
      <c r="J1208" s="6">
        <f t="shared" si="36"/>
        <v>1.988826815642458</v>
      </c>
      <c r="K1208">
        <f t="shared" si="37"/>
        <v>3749000</v>
      </c>
      <c r="L1208" t="str">
        <f>VLOOKUP($B1208,dim_stores!$A$1:$C$51,2,0)</f>
        <v>Bengaluru</v>
      </c>
    </row>
    <row r="1209" spans="1:12" x14ac:dyDescent="0.3">
      <c r="A1209" t="s">
        <v>1210</v>
      </c>
      <c r="B1209" t="s">
        <v>63</v>
      </c>
      <c r="C1209" t="s">
        <v>15</v>
      </c>
      <c r="D1209" t="s">
        <v>48</v>
      </c>
      <c r="E1209">
        <v>62</v>
      </c>
      <c r="F1209" t="s">
        <v>12</v>
      </c>
      <c r="G1209">
        <v>91</v>
      </c>
      <c r="H1209">
        <v>113</v>
      </c>
      <c r="I1209" t="str">
        <f>_xlfn.XLOOKUP($C1209,dim_campaigns!$D$2:$D$3,dim_campaigns!$A$2:$A$3,"",0)</f>
        <v>Diwali</v>
      </c>
      <c r="J1209" s="6">
        <f t="shared" si="36"/>
        <v>0.24175824175824176</v>
      </c>
      <c r="K1209">
        <f t="shared" si="37"/>
        <v>9145</v>
      </c>
      <c r="L1209" t="str">
        <f>VLOOKUP($B1209,dim_stores!$A$1:$C$51,2,0)</f>
        <v>Visakhapatnam</v>
      </c>
    </row>
    <row r="1210" spans="1:12" x14ac:dyDescent="0.3">
      <c r="A1210" t="s">
        <v>1211</v>
      </c>
      <c r="B1210" t="s">
        <v>23</v>
      </c>
      <c r="C1210" t="s">
        <v>10</v>
      </c>
      <c r="D1210" t="s">
        <v>43</v>
      </c>
      <c r="E1210">
        <v>415</v>
      </c>
      <c r="F1210" t="s">
        <v>17</v>
      </c>
      <c r="G1210">
        <v>21</v>
      </c>
      <c r="H1210">
        <v>15</v>
      </c>
      <c r="I1210" t="str">
        <f>_xlfn.XLOOKUP($C1210,dim_campaigns!$D$2:$D$3,dim_campaigns!$A$2:$A$3,"",0)</f>
        <v>Sankranti</v>
      </c>
      <c r="J1210" s="6">
        <f t="shared" si="36"/>
        <v>-0.2857142857142857</v>
      </c>
      <c r="K1210">
        <f t="shared" si="37"/>
        <v>13383.75</v>
      </c>
      <c r="L1210" t="str">
        <f>VLOOKUP($B1210,dim_stores!$A$1:$C$51,2,0)</f>
        <v>Coimbatore</v>
      </c>
    </row>
    <row r="1211" spans="1:12" x14ac:dyDescent="0.3">
      <c r="A1211" t="s">
        <v>1212</v>
      </c>
      <c r="B1211" t="s">
        <v>65</v>
      </c>
      <c r="C1211" t="s">
        <v>15</v>
      </c>
      <c r="D1211" t="s">
        <v>68</v>
      </c>
      <c r="E1211">
        <v>1020</v>
      </c>
      <c r="F1211" t="s">
        <v>21</v>
      </c>
      <c r="G1211">
        <v>54</v>
      </c>
      <c r="H1211">
        <v>183</v>
      </c>
      <c r="I1211" t="str">
        <f>_xlfn.XLOOKUP($C1211,dim_campaigns!$D$2:$D$3,dim_campaigns!$A$2:$A$3,"",0)</f>
        <v>Diwali</v>
      </c>
      <c r="J1211" s="6">
        <f t="shared" si="36"/>
        <v>2.3888888888888888</v>
      </c>
      <c r="K1211">
        <f t="shared" si="37"/>
        <v>148410</v>
      </c>
      <c r="L1211" t="str">
        <f>VLOOKUP($B1211,dim_stores!$A$1:$C$51,2,0)</f>
        <v>Hyderabad</v>
      </c>
    </row>
    <row r="1212" spans="1:12" x14ac:dyDescent="0.3">
      <c r="A1212" t="s">
        <v>1213</v>
      </c>
      <c r="B1212" t="s">
        <v>207</v>
      </c>
      <c r="C1212" t="s">
        <v>15</v>
      </c>
      <c r="D1212" t="s">
        <v>85</v>
      </c>
      <c r="E1212">
        <v>110</v>
      </c>
      <c r="F1212" t="s">
        <v>12</v>
      </c>
      <c r="G1212">
        <v>77</v>
      </c>
      <c r="H1212">
        <v>113</v>
      </c>
      <c r="I1212" t="str">
        <f>_xlfn.XLOOKUP($C1212,dim_campaigns!$D$2:$D$3,dim_campaigns!$A$2:$A$3,"",0)</f>
        <v>Diwali</v>
      </c>
      <c r="J1212" s="6">
        <f t="shared" si="36"/>
        <v>0.46753246753246752</v>
      </c>
      <c r="K1212">
        <f t="shared" si="37"/>
        <v>14685</v>
      </c>
      <c r="L1212" t="str">
        <f>VLOOKUP($B1212,dim_stores!$A$1:$C$51,2,0)</f>
        <v>Hyderabad</v>
      </c>
    </row>
    <row r="1213" spans="1:12" x14ac:dyDescent="0.3">
      <c r="A1213" t="s">
        <v>1214</v>
      </c>
      <c r="B1213" t="s">
        <v>75</v>
      </c>
      <c r="C1213" t="s">
        <v>15</v>
      </c>
      <c r="D1213" t="s">
        <v>20</v>
      </c>
      <c r="E1213">
        <v>300</v>
      </c>
      <c r="F1213" t="s">
        <v>21</v>
      </c>
      <c r="G1213">
        <v>47</v>
      </c>
      <c r="H1213">
        <v>162</v>
      </c>
      <c r="I1213" t="str">
        <f>_xlfn.XLOOKUP($C1213,dim_campaigns!$D$2:$D$3,dim_campaigns!$A$2:$A$3,"",0)</f>
        <v>Diwali</v>
      </c>
      <c r="J1213" s="6">
        <f t="shared" si="36"/>
        <v>2.4468085106382977</v>
      </c>
      <c r="K1213">
        <f t="shared" si="37"/>
        <v>38400</v>
      </c>
      <c r="L1213" t="str">
        <f>VLOOKUP($B1213,dim_stores!$A$1:$C$51,2,0)</f>
        <v>Madurai</v>
      </c>
    </row>
    <row r="1214" spans="1:12" x14ac:dyDescent="0.3">
      <c r="A1214" t="s">
        <v>1215</v>
      </c>
      <c r="B1214" t="s">
        <v>161</v>
      </c>
      <c r="C1214" t="s">
        <v>15</v>
      </c>
      <c r="D1214" t="s">
        <v>53</v>
      </c>
      <c r="E1214">
        <v>860</v>
      </c>
      <c r="F1214" t="s">
        <v>54</v>
      </c>
      <c r="G1214">
        <v>336</v>
      </c>
      <c r="H1214">
        <v>507</v>
      </c>
      <c r="I1214" t="str">
        <f>_xlfn.XLOOKUP($C1214,dim_campaigns!$D$2:$D$3,dim_campaigns!$A$2:$A$3,"",0)</f>
        <v>Diwali</v>
      </c>
      <c r="J1214" s="6">
        <f t="shared" si="36"/>
        <v>0.5089285714285714</v>
      </c>
      <c r="K1214">
        <f t="shared" si="37"/>
        <v>581093.4</v>
      </c>
      <c r="L1214" t="str">
        <f>VLOOKUP($B1214,dim_stores!$A$1:$C$51,2,0)</f>
        <v>Chennai</v>
      </c>
    </row>
    <row r="1215" spans="1:12" x14ac:dyDescent="0.3">
      <c r="A1215" t="s">
        <v>1216</v>
      </c>
      <c r="B1215" t="s">
        <v>161</v>
      </c>
      <c r="C1215" t="s">
        <v>15</v>
      </c>
      <c r="D1215" t="s">
        <v>20</v>
      </c>
      <c r="E1215">
        <v>300</v>
      </c>
      <c r="F1215" t="s">
        <v>21</v>
      </c>
      <c r="G1215">
        <v>71</v>
      </c>
      <c r="H1215">
        <v>282</v>
      </c>
      <c r="I1215" t="str">
        <f>_xlfn.XLOOKUP($C1215,dim_campaigns!$D$2:$D$3,dim_campaigns!$A$2:$A$3,"",0)</f>
        <v>Diwali</v>
      </c>
      <c r="J1215" s="6">
        <f t="shared" si="36"/>
        <v>2.971830985915493</v>
      </c>
      <c r="K1215">
        <f t="shared" si="37"/>
        <v>63600</v>
      </c>
      <c r="L1215" t="str">
        <f>VLOOKUP($B1215,dim_stores!$A$1:$C$51,2,0)</f>
        <v>Chennai</v>
      </c>
    </row>
    <row r="1216" spans="1:12" x14ac:dyDescent="0.3">
      <c r="A1216" t="s">
        <v>1217</v>
      </c>
      <c r="B1216" t="s">
        <v>96</v>
      </c>
      <c r="C1216" t="s">
        <v>15</v>
      </c>
      <c r="D1216" t="s">
        <v>24</v>
      </c>
      <c r="E1216">
        <v>3000</v>
      </c>
      <c r="F1216" t="s">
        <v>25</v>
      </c>
      <c r="G1216">
        <v>416</v>
      </c>
      <c r="H1216">
        <v>1472</v>
      </c>
      <c r="I1216" t="str">
        <f>_xlfn.XLOOKUP($C1216,dim_campaigns!$D$2:$D$3,dim_campaigns!$A$2:$A$3,"",0)</f>
        <v>Diwali</v>
      </c>
      <c r="J1216" s="6">
        <f t="shared" si="36"/>
        <v>2.5384615384615383</v>
      </c>
      <c r="K1216">
        <f t="shared" si="37"/>
        <v>4928000</v>
      </c>
      <c r="L1216" t="str">
        <f>VLOOKUP($B1216,dim_stores!$A$1:$C$51,2,0)</f>
        <v>Mysuru</v>
      </c>
    </row>
    <row r="1217" spans="1:12" x14ac:dyDescent="0.3">
      <c r="A1217" t="s">
        <v>1218</v>
      </c>
      <c r="B1217" t="s">
        <v>19</v>
      </c>
      <c r="C1217" t="s">
        <v>15</v>
      </c>
      <c r="D1217" t="s">
        <v>68</v>
      </c>
      <c r="E1217">
        <v>1020</v>
      </c>
      <c r="F1217" t="s">
        <v>21</v>
      </c>
      <c r="G1217">
        <v>28</v>
      </c>
      <c r="H1217">
        <v>92</v>
      </c>
      <c r="I1217" t="str">
        <f>_xlfn.XLOOKUP($C1217,dim_campaigns!$D$2:$D$3,dim_campaigns!$A$2:$A$3,"",0)</f>
        <v>Diwali</v>
      </c>
      <c r="J1217" s="6">
        <f t="shared" si="36"/>
        <v>2.2857142857142856</v>
      </c>
      <c r="K1217">
        <f t="shared" si="37"/>
        <v>75480</v>
      </c>
      <c r="L1217" t="str">
        <f>VLOOKUP($B1217,dim_stores!$A$1:$C$51,2,0)</f>
        <v>Vijayawada</v>
      </c>
    </row>
    <row r="1218" spans="1:12" x14ac:dyDescent="0.3">
      <c r="A1218" t="s">
        <v>1219</v>
      </c>
      <c r="B1218" t="s">
        <v>117</v>
      </c>
      <c r="C1218" t="s">
        <v>10</v>
      </c>
      <c r="D1218" t="s">
        <v>28</v>
      </c>
      <c r="E1218">
        <v>55</v>
      </c>
      <c r="F1218" t="s">
        <v>17</v>
      </c>
      <c r="G1218">
        <v>13</v>
      </c>
      <c r="H1218">
        <v>10</v>
      </c>
      <c r="I1218" t="str">
        <f>_xlfn.XLOOKUP($C1218,dim_campaigns!$D$2:$D$3,dim_campaigns!$A$2:$A$3,"",0)</f>
        <v>Sankranti</v>
      </c>
      <c r="J1218" s="6">
        <f t="shared" si="36"/>
        <v>-0.23076923076923078</v>
      </c>
      <c r="K1218">
        <f t="shared" si="37"/>
        <v>1127.5</v>
      </c>
      <c r="L1218" t="str">
        <f>VLOOKUP($B1218,dim_stores!$A$1:$C$51,2,0)</f>
        <v>Mangalore</v>
      </c>
    </row>
    <row r="1219" spans="1:12" x14ac:dyDescent="0.3">
      <c r="A1219" t="s">
        <v>1220</v>
      </c>
      <c r="B1219" t="s">
        <v>45</v>
      </c>
      <c r="C1219" t="s">
        <v>10</v>
      </c>
      <c r="D1219" t="s">
        <v>53</v>
      </c>
      <c r="E1219">
        <v>860</v>
      </c>
      <c r="F1219" t="s">
        <v>54</v>
      </c>
      <c r="G1219">
        <v>454</v>
      </c>
      <c r="H1219">
        <v>644</v>
      </c>
      <c r="I1219" t="str">
        <f>_xlfn.XLOOKUP($C1219,dim_campaigns!$D$2:$D$3,dim_campaigns!$A$2:$A$3,"",0)</f>
        <v>Sankranti</v>
      </c>
      <c r="J1219" s="6">
        <f t="shared" ref="J1219:J1282" si="38">IFERROR((H1219-G1219)/G1219,0)</f>
        <v>0.41850220264317178</v>
      </c>
      <c r="K1219">
        <f t="shared" ref="K1219:K1282" si="39">E1219*G1219+(E1219-IF(F1219="500 Cashback",500,IF(F1219="BOGOF",E1219*50%,IF(F1219="25% OFF",E1219*25%,IF(F1219="33% OFF",E1219*33%,IF(F1219="50% OFF",E1219*50%,0))))))*H1219</f>
        <v>761512.8</v>
      </c>
      <c r="L1219" t="str">
        <f>VLOOKUP($B1219,dim_stores!$A$1:$C$51,2,0)</f>
        <v>Hyderabad</v>
      </c>
    </row>
    <row r="1220" spans="1:12" x14ac:dyDescent="0.3">
      <c r="A1220" t="s">
        <v>1221</v>
      </c>
      <c r="B1220" t="s">
        <v>34</v>
      </c>
      <c r="C1220" t="s">
        <v>10</v>
      </c>
      <c r="D1220" t="s">
        <v>24</v>
      </c>
      <c r="E1220">
        <v>3000</v>
      </c>
      <c r="F1220" t="s">
        <v>25</v>
      </c>
      <c r="G1220">
        <v>118</v>
      </c>
      <c r="H1220">
        <v>253</v>
      </c>
      <c r="I1220" t="str">
        <f>_xlfn.XLOOKUP($C1220,dim_campaigns!$D$2:$D$3,dim_campaigns!$A$2:$A$3,"",0)</f>
        <v>Sankranti</v>
      </c>
      <c r="J1220" s="6">
        <f t="shared" si="38"/>
        <v>1.1440677966101696</v>
      </c>
      <c r="K1220">
        <f t="shared" si="39"/>
        <v>986500</v>
      </c>
      <c r="L1220" t="str">
        <f>VLOOKUP($B1220,dim_stores!$A$1:$C$51,2,0)</f>
        <v>Hyderabad</v>
      </c>
    </row>
    <row r="1221" spans="1:12" x14ac:dyDescent="0.3">
      <c r="A1221" t="s">
        <v>1222</v>
      </c>
      <c r="B1221" t="s">
        <v>27</v>
      </c>
      <c r="C1221" t="s">
        <v>10</v>
      </c>
      <c r="D1221" t="s">
        <v>51</v>
      </c>
      <c r="E1221">
        <v>370</v>
      </c>
      <c r="F1221" t="s">
        <v>21</v>
      </c>
      <c r="G1221">
        <v>402</v>
      </c>
      <c r="H1221">
        <v>1652</v>
      </c>
      <c r="I1221" t="str">
        <f>_xlfn.XLOOKUP($C1221,dim_campaigns!$D$2:$D$3,dim_campaigns!$A$2:$A$3,"",0)</f>
        <v>Sankranti</v>
      </c>
      <c r="J1221" s="6">
        <f t="shared" si="38"/>
        <v>3.1094527363184081</v>
      </c>
      <c r="K1221">
        <f t="shared" si="39"/>
        <v>454360</v>
      </c>
      <c r="L1221" t="str">
        <f>VLOOKUP($B1221,dim_stores!$A$1:$C$51,2,0)</f>
        <v>Bengaluru</v>
      </c>
    </row>
    <row r="1222" spans="1:12" x14ac:dyDescent="0.3">
      <c r="A1222" t="s">
        <v>1223</v>
      </c>
      <c r="B1222" t="s">
        <v>103</v>
      </c>
      <c r="C1222" t="s">
        <v>10</v>
      </c>
      <c r="D1222" t="s">
        <v>20</v>
      </c>
      <c r="E1222">
        <v>300</v>
      </c>
      <c r="F1222" t="s">
        <v>21</v>
      </c>
      <c r="G1222">
        <v>51</v>
      </c>
      <c r="H1222">
        <v>140</v>
      </c>
      <c r="I1222" t="str">
        <f>_xlfn.XLOOKUP($C1222,dim_campaigns!$D$2:$D$3,dim_campaigns!$A$2:$A$3,"",0)</f>
        <v>Sankranti</v>
      </c>
      <c r="J1222" s="6">
        <f t="shared" si="38"/>
        <v>1.7450980392156863</v>
      </c>
      <c r="K1222">
        <f t="shared" si="39"/>
        <v>36300</v>
      </c>
      <c r="L1222" t="str">
        <f>VLOOKUP($B1222,dim_stores!$A$1:$C$51,2,0)</f>
        <v>Hyderabad</v>
      </c>
    </row>
    <row r="1223" spans="1:12" x14ac:dyDescent="0.3">
      <c r="A1223" t="s">
        <v>1224</v>
      </c>
      <c r="B1223" t="s">
        <v>65</v>
      </c>
      <c r="C1223" t="s">
        <v>10</v>
      </c>
      <c r="D1223" t="s">
        <v>11</v>
      </c>
      <c r="E1223">
        <v>190</v>
      </c>
      <c r="F1223" t="s">
        <v>12</v>
      </c>
      <c r="G1223">
        <v>54</v>
      </c>
      <c r="H1223">
        <v>76</v>
      </c>
      <c r="I1223" t="str">
        <f>_xlfn.XLOOKUP($C1223,dim_campaigns!$D$2:$D$3,dim_campaigns!$A$2:$A$3,"",0)</f>
        <v>Sankranti</v>
      </c>
      <c r="J1223" s="6">
        <f t="shared" si="38"/>
        <v>0.40740740740740738</v>
      </c>
      <c r="K1223">
        <f t="shared" si="39"/>
        <v>17480</v>
      </c>
      <c r="L1223" t="str">
        <f>VLOOKUP($B1223,dim_stores!$A$1:$C$51,2,0)</f>
        <v>Hyderabad</v>
      </c>
    </row>
    <row r="1224" spans="1:12" x14ac:dyDescent="0.3">
      <c r="A1224" t="s">
        <v>1225</v>
      </c>
      <c r="B1224" t="s">
        <v>45</v>
      </c>
      <c r="C1224" t="s">
        <v>15</v>
      </c>
      <c r="D1224" t="s">
        <v>48</v>
      </c>
      <c r="E1224">
        <v>62</v>
      </c>
      <c r="F1224" t="s">
        <v>12</v>
      </c>
      <c r="G1224">
        <v>133</v>
      </c>
      <c r="H1224">
        <v>167</v>
      </c>
      <c r="I1224" t="str">
        <f>_xlfn.XLOOKUP($C1224,dim_campaigns!$D$2:$D$3,dim_campaigns!$A$2:$A$3,"",0)</f>
        <v>Diwali</v>
      </c>
      <c r="J1224" s="6">
        <f t="shared" si="38"/>
        <v>0.25563909774436089</v>
      </c>
      <c r="K1224">
        <f t="shared" si="39"/>
        <v>13423</v>
      </c>
      <c r="L1224" t="str">
        <f>VLOOKUP($B1224,dim_stores!$A$1:$C$51,2,0)</f>
        <v>Hyderabad</v>
      </c>
    </row>
    <row r="1225" spans="1:12" x14ac:dyDescent="0.3">
      <c r="A1225" t="s">
        <v>1226</v>
      </c>
      <c r="B1225" t="s">
        <v>142</v>
      </c>
      <c r="C1225" t="s">
        <v>10</v>
      </c>
      <c r="D1225" t="s">
        <v>48</v>
      </c>
      <c r="E1225">
        <v>62</v>
      </c>
      <c r="F1225" t="s">
        <v>12</v>
      </c>
      <c r="G1225">
        <v>36</v>
      </c>
      <c r="H1225">
        <v>49</v>
      </c>
      <c r="I1225" t="str">
        <f>_xlfn.XLOOKUP($C1225,dim_campaigns!$D$2:$D$3,dim_campaigns!$A$2:$A$3,"",0)</f>
        <v>Sankranti</v>
      </c>
      <c r="J1225" s="6">
        <f t="shared" si="38"/>
        <v>0.3611111111111111</v>
      </c>
      <c r="K1225">
        <f t="shared" si="39"/>
        <v>3751</v>
      </c>
      <c r="L1225" t="str">
        <f>VLOOKUP($B1225,dim_stores!$A$1:$C$51,2,0)</f>
        <v>Madurai</v>
      </c>
    </row>
    <row r="1226" spans="1:12" x14ac:dyDescent="0.3">
      <c r="A1226" t="s">
        <v>1227</v>
      </c>
      <c r="B1226" t="s">
        <v>212</v>
      </c>
      <c r="C1226" t="s">
        <v>10</v>
      </c>
      <c r="D1226" t="s">
        <v>20</v>
      </c>
      <c r="E1226">
        <v>300</v>
      </c>
      <c r="F1226" t="s">
        <v>21</v>
      </c>
      <c r="G1226">
        <v>40</v>
      </c>
      <c r="H1226">
        <v>165</v>
      </c>
      <c r="I1226" t="str">
        <f>_xlfn.XLOOKUP($C1226,dim_campaigns!$D$2:$D$3,dim_campaigns!$A$2:$A$3,"",0)</f>
        <v>Sankranti</v>
      </c>
      <c r="J1226" s="6">
        <f t="shared" si="38"/>
        <v>3.125</v>
      </c>
      <c r="K1226">
        <f t="shared" si="39"/>
        <v>36750</v>
      </c>
      <c r="L1226" t="str">
        <f>VLOOKUP($B1226,dim_stores!$A$1:$C$51,2,0)</f>
        <v>Bengaluru</v>
      </c>
    </row>
    <row r="1227" spans="1:12" x14ac:dyDescent="0.3">
      <c r="A1227" s="1">
        <v>5.2299999999999998E+42</v>
      </c>
      <c r="B1227" t="s">
        <v>58</v>
      </c>
      <c r="C1227" t="s">
        <v>15</v>
      </c>
      <c r="D1227" t="s">
        <v>24</v>
      </c>
      <c r="E1227">
        <v>3000</v>
      </c>
      <c r="F1227" t="s">
        <v>25</v>
      </c>
      <c r="G1227">
        <v>388</v>
      </c>
      <c r="H1227">
        <v>1187</v>
      </c>
      <c r="I1227" t="str">
        <f>_xlfn.XLOOKUP($C1227,dim_campaigns!$D$2:$D$3,dim_campaigns!$A$2:$A$3,"",0)</f>
        <v>Diwali</v>
      </c>
      <c r="J1227" s="6">
        <f t="shared" si="38"/>
        <v>2.0592783505154637</v>
      </c>
      <c r="K1227">
        <f t="shared" si="39"/>
        <v>4131500</v>
      </c>
      <c r="L1227" t="str">
        <f>VLOOKUP($B1227,dim_stores!$A$1:$C$51,2,0)</f>
        <v>Chennai</v>
      </c>
    </row>
    <row r="1228" spans="1:12" x14ac:dyDescent="0.3">
      <c r="A1228" t="s">
        <v>1228</v>
      </c>
      <c r="B1228" t="s">
        <v>95</v>
      </c>
      <c r="C1228" t="s">
        <v>15</v>
      </c>
      <c r="D1228" t="s">
        <v>85</v>
      </c>
      <c r="E1228">
        <v>110</v>
      </c>
      <c r="F1228" t="s">
        <v>12</v>
      </c>
      <c r="G1228">
        <v>80</v>
      </c>
      <c r="H1228">
        <v>107</v>
      </c>
      <c r="I1228" t="str">
        <f>_xlfn.XLOOKUP($C1228,dim_campaigns!$D$2:$D$3,dim_campaigns!$A$2:$A$3,"",0)</f>
        <v>Diwali</v>
      </c>
      <c r="J1228" s="6">
        <f t="shared" si="38"/>
        <v>0.33750000000000002</v>
      </c>
      <c r="K1228">
        <f t="shared" si="39"/>
        <v>14685</v>
      </c>
      <c r="L1228" t="str">
        <f>VLOOKUP($B1228,dim_stores!$A$1:$C$51,2,0)</f>
        <v>Hyderabad</v>
      </c>
    </row>
    <row r="1229" spans="1:12" x14ac:dyDescent="0.3">
      <c r="A1229" t="s">
        <v>1229</v>
      </c>
      <c r="B1229" t="s">
        <v>78</v>
      </c>
      <c r="C1229" t="s">
        <v>10</v>
      </c>
      <c r="D1229" t="s">
        <v>68</v>
      </c>
      <c r="E1229">
        <v>1020</v>
      </c>
      <c r="F1229" t="s">
        <v>21</v>
      </c>
      <c r="G1229">
        <v>84</v>
      </c>
      <c r="H1229">
        <v>219</v>
      </c>
      <c r="I1229" t="str">
        <f>_xlfn.XLOOKUP($C1229,dim_campaigns!$D$2:$D$3,dim_campaigns!$A$2:$A$3,"",0)</f>
        <v>Sankranti</v>
      </c>
      <c r="J1229" s="6">
        <f t="shared" si="38"/>
        <v>1.6071428571428572</v>
      </c>
      <c r="K1229">
        <f t="shared" si="39"/>
        <v>197370</v>
      </c>
      <c r="L1229" t="str">
        <f>VLOOKUP($B1229,dim_stores!$A$1:$C$51,2,0)</f>
        <v>Mysuru</v>
      </c>
    </row>
    <row r="1230" spans="1:12" x14ac:dyDescent="0.3">
      <c r="A1230" t="s">
        <v>1230</v>
      </c>
      <c r="B1230" t="s">
        <v>212</v>
      </c>
      <c r="C1230" t="s">
        <v>15</v>
      </c>
      <c r="D1230" t="s">
        <v>68</v>
      </c>
      <c r="E1230">
        <v>1020</v>
      </c>
      <c r="F1230" t="s">
        <v>21</v>
      </c>
      <c r="G1230">
        <v>47</v>
      </c>
      <c r="H1230">
        <v>189</v>
      </c>
      <c r="I1230" t="str">
        <f>_xlfn.XLOOKUP($C1230,dim_campaigns!$D$2:$D$3,dim_campaigns!$A$2:$A$3,"",0)</f>
        <v>Diwali</v>
      </c>
      <c r="J1230" s="6">
        <f t="shared" si="38"/>
        <v>3.021276595744681</v>
      </c>
      <c r="K1230">
        <f t="shared" si="39"/>
        <v>144330</v>
      </c>
      <c r="L1230" t="str">
        <f>VLOOKUP($B1230,dim_stores!$A$1:$C$51,2,0)</f>
        <v>Bengaluru</v>
      </c>
    </row>
    <row r="1231" spans="1:12" x14ac:dyDescent="0.3">
      <c r="A1231" t="s">
        <v>1231</v>
      </c>
      <c r="B1231" t="s">
        <v>142</v>
      </c>
      <c r="C1231" t="s">
        <v>10</v>
      </c>
      <c r="D1231" t="s">
        <v>20</v>
      </c>
      <c r="E1231">
        <v>300</v>
      </c>
      <c r="F1231" t="s">
        <v>21</v>
      </c>
      <c r="G1231">
        <v>40</v>
      </c>
      <c r="H1231">
        <v>154</v>
      </c>
      <c r="I1231" t="str">
        <f>_xlfn.XLOOKUP($C1231,dim_campaigns!$D$2:$D$3,dim_campaigns!$A$2:$A$3,"",0)</f>
        <v>Sankranti</v>
      </c>
      <c r="J1231" s="6">
        <f t="shared" si="38"/>
        <v>2.85</v>
      </c>
      <c r="K1231">
        <f t="shared" si="39"/>
        <v>35100</v>
      </c>
      <c r="L1231" t="str">
        <f>VLOOKUP($B1231,dim_stores!$A$1:$C$51,2,0)</f>
        <v>Madurai</v>
      </c>
    </row>
    <row r="1232" spans="1:12" x14ac:dyDescent="0.3">
      <c r="A1232" t="s">
        <v>1232</v>
      </c>
      <c r="B1232" t="s">
        <v>78</v>
      </c>
      <c r="C1232" t="s">
        <v>10</v>
      </c>
      <c r="D1232" t="s">
        <v>16</v>
      </c>
      <c r="E1232">
        <v>200</v>
      </c>
      <c r="F1232" t="s">
        <v>21</v>
      </c>
      <c r="G1232">
        <v>333</v>
      </c>
      <c r="H1232">
        <v>869</v>
      </c>
      <c r="I1232" t="str">
        <f>_xlfn.XLOOKUP($C1232,dim_campaigns!$D$2:$D$3,dim_campaigns!$A$2:$A$3,"",0)</f>
        <v>Sankranti</v>
      </c>
      <c r="J1232" s="6">
        <f t="shared" si="38"/>
        <v>1.6096096096096095</v>
      </c>
      <c r="K1232">
        <f t="shared" si="39"/>
        <v>153500</v>
      </c>
      <c r="L1232" t="str">
        <f>VLOOKUP($B1232,dim_stores!$A$1:$C$51,2,0)</f>
        <v>Mysuru</v>
      </c>
    </row>
    <row r="1233" spans="1:12" x14ac:dyDescent="0.3">
      <c r="A1233" t="s">
        <v>1233</v>
      </c>
      <c r="B1233" t="s">
        <v>47</v>
      </c>
      <c r="C1233" t="s">
        <v>10</v>
      </c>
      <c r="D1233" t="s">
        <v>11</v>
      </c>
      <c r="E1233">
        <v>190</v>
      </c>
      <c r="F1233" t="s">
        <v>12</v>
      </c>
      <c r="G1233">
        <v>57</v>
      </c>
      <c r="H1233">
        <v>79</v>
      </c>
      <c r="I1233" t="str">
        <f>_xlfn.XLOOKUP($C1233,dim_campaigns!$D$2:$D$3,dim_campaigns!$A$2:$A$3,"",0)</f>
        <v>Sankranti</v>
      </c>
      <c r="J1233" s="6">
        <f t="shared" si="38"/>
        <v>0.38596491228070173</v>
      </c>
      <c r="K1233">
        <f t="shared" si="39"/>
        <v>18335</v>
      </c>
      <c r="L1233" t="str">
        <f>VLOOKUP($B1233,dim_stores!$A$1:$C$51,2,0)</f>
        <v>Chennai</v>
      </c>
    </row>
    <row r="1234" spans="1:12" x14ac:dyDescent="0.3">
      <c r="A1234" t="s">
        <v>1234</v>
      </c>
      <c r="B1234" t="s">
        <v>56</v>
      </c>
      <c r="C1234" t="s">
        <v>15</v>
      </c>
      <c r="D1234" t="s">
        <v>11</v>
      </c>
      <c r="E1234">
        <v>190</v>
      </c>
      <c r="F1234" t="s">
        <v>12</v>
      </c>
      <c r="G1234">
        <v>73</v>
      </c>
      <c r="H1234">
        <v>84</v>
      </c>
      <c r="I1234" t="str">
        <f>_xlfn.XLOOKUP($C1234,dim_campaigns!$D$2:$D$3,dim_campaigns!$A$2:$A$3,"",0)</f>
        <v>Diwali</v>
      </c>
      <c r="J1234" s="6">
        <f t="shared" si="38"/>
        <v>0.15068493150684931</v>
      </c>
      <c r="K1234">
        <f t="shared" si="39"/>
        <v>21850</v>
      </c>
      <c r="L1234" t="str">
        <f>VLOOKUP($B1234,dim_stores!$A$1:$C$51,2,0)</f>
        <v>Chennai</v>
      </c>
    </row>
    <row r="1235" spans="1:12" x14ac:dyDescent="0.3">
      <c r="A1235" t="s">
        <v>1235</v>
      </c>
      <c r="B1235" t="s">
        <v>45</v>
      </c>
      <c r="C1235" t="s">
        <v>10</v>
      </c>
      <c r="D1235" t="s">
        <v>43</v>
      </c>
      <c r="E1235">
        <v>415</v>
      </c>
      <c r="F1235" t="s">
        <v>17</v>
      </c>
      <c r="G1235">
        <v>34</v>
      </c>
      <c r="H1235">
        <v>27</v>
      </c>
      <c r="I1235" t="str">
        <f>_xlfn.XLOOKUP($C1235,dim_campaigns!$D$2:$D$3,dim_campaigns!$A$2:$A$3,"",0)</f>
        <v>Sankranti</v>
      </c>
      <c r="J1235" s="6">
        <f t="shared" si="38"/>
        <v>-0.20588235294117646</v>
      </c>
      <c r="K1235">
        <f t="shared" si="39"/>
        <v>22513.75</v>
      </c>
      <c r="L1235" t="str">
        <f>VLOOKUP($B1235,dim_stores!$A$1:$C$51,2,0)</f>
        <v>Hyderabad</v>
      </c>
    </row>
    <row r="1236" spans="1:12" x14ac:dyDescent="0.3">
      <c r="A1236" t="s">
        <v>1236</v>
      </c>
      <c r="B1236" t="s">
        <v>190</v>
      </c>
      <c r="C1236" t="s">
        <v>10</v>
      </c>
      <c r="D1236" t="s">
        <v>11</v>
      </c>
      <c r="E1236">
        <v>190</v>
      </c>
      <c r="F1236" t="s">
        <v>12</v>
      </c>
      <c r="G1236">
        <v>31</v>
      </c>
      <c r="H1236">
        <v>46</v>
      </c>
      <c r="I1236" t="str">
        <f>_xlfn.XLOOKUP($C1236,dim_campaigns!$D$2:$D$3,dim_campaigns!$A$2:$A$3,"",0)</f>
        <v>Sankranti</v>
      </c>
      <c r="J1236" s="6">
        <f t="shared" si="38"/>
        <v>0.4838709677419355</v>
      </c>
      <c r="K1236">
        <f t="shared" si="39"/>
        <v>10260</v>
      </c>
      <c r="L1236" t="str">
        <f>VLOOKUP($B1236,dim_stores!$A$1:$C$51,2,0)</f>
        <v>Visakhapatnam</v>
      </c>
    </row>
    <row r="1237" spans="1:12" x14ac:dyDescent="0.3">
      <c r="A1237" t="s">
        <v>1237</v>
      </c>
      <c r="B1237" t="s">
        <v>107</v>
      </c>
      <c r="C1237" t="s">
        <v>10</v>
      </c>
      <c r="D1237" t="s">
        <v>68</v>
      </c>
      <c r="E1237">
        <v>1020</v>
      </c>
      <c r="F1237" t="s">
        <v>21</v>
      </c>
      <c r="G1237">
        <v>69</v>
      </c>
      <c r="H1237">
        <v>274</v>
      </c>
      <c r="I1237" t="str">
        <f>_xlfn.XLOOKUP($C1237,dim_campaigns!$D$2:$D$3,dim_campaigns!$A$2:$A$3,"",0)</f>
        <v>Sankranti</v>
      </c>
      <c r="J1237" s="6">
        <f t="shared" si="38"/>
        <v>2.9710144927536231</v>
      </c>
      <c r="K1237">
        <f t="shared" si="39"/>
        <v>210120</v>
      </c>
      <c r="L1237" t="str">
        <f>VLOOKUP($B1237,dim_stores!$A$1:$C$51,2,0)</f>
        <v>Coimbatore</v>
      </c>
    </row>
    <row r="1238" spans="1:12" x14ac:dyDescent="0.3">
      <c r="A1238" t="s">
        <v>1238</v>
      </c>
      <c r="B1238" t="s">
        <v>139</v>
      </c>
      <c r="C1238" t="s">
        <v>10</v>
      </c>
      <c r="D1238" t="s">
        <v>61</v>
      </c>
      <c r="E1238">
        <v>172</v>
      </c>
      <c r="F1238" t="s">
        <v>54</v>
      </c>
      <c r="G1238">
        <v>222</v>
      </c>
      <c r="H1238">
        <v>275</v>
      </c>
      <c r="I1238" t="str">
        <f>_xlfn.XLOOKUP($C1238,dim_campaigns!$D$2:$D$3,dim_campaigns!$A$2:$A$3,"",0)</f>
        <v>Sankranti</v>
      </c>
      <c r="J1238" s="6">
        <f t="shared" si="38"/>
        <v>0.23873873873873874</v>
      </c>
      <c r="K1238">
        <f t="shared" si="39"/>
        <v>69875</v>
      </c>
      <c r="L1238" t="str">
        <f>VLOOKUP($B1238,dim_stores!$A$1:$C$51,2,0)</f>
        <v>Visakhapatnam</v>
      </c>
    </row>
    <row r="1239" spans="1:12" x14ac:dyDescent="0.3">
      <c r="A1239" t="s">
        <v>1239</v>
      </c>
      <c r="B1239" t="s">
        <v>212</v>
      </c>
      <c r="C1239" t="s">
        <v>15</v>
      </c>
      <c r="D1239" t="s">
        <v>16</v>
      </c>
      <c r="E1239">
        <v>156</v>
      </c>
      <c r="F1239" t="s">
        <v>17</v>
      </c>
      <c r="G1239">
        <v>343</v>
      </c>
      <c r="H1239">
        <v>301</v>
      </c>
      <c r="I1239" t="str">
        <f>_xlfn.XLOOKUP($C1239,dim_campaigns!$D$2:$D$3,dim_campaigns!$A$2:$A$3,"",0)</f>
        <v>Diwali</v>
      </c>
      <c r="J1239" s="6">
        <f t="shared" si="38"/>
        <v>-0.12244897959183673</v>
      </c>
      <c r="K1239">
        <f t="shared" si="39"/>
        <v>88725</v>
      </c>
      <c r="L1239" t="str">
        <f>VLOOKUP($B1239,dim_stores!$A$1:$C$51,2,0)</f>
        <v>Bengaluru</v>
      </c>
    </row>
    <row r="1240" spans="1:12" x14ac:dyDescent="0.3">
      <c r="A1240" t="s">
        <v>1240</v>
      </c>
      <c r="B1240" t="s">
        <v>67</v>
      </c>
      <c r="C1240" t="s">
        <v>10</v>
      </c>
      <c r="D1240" t="s">
        <v>61</v>
      </c>
      <c r="E1240">
        <v>172</v>
      </c>
      <c r="F1240" t="s">
        <v>54</v>
      </c>
      <c r="G1240">
        <v>273</v>
      </c>
      <c r="H1240">
        <v>382</v>
      </c>
      <c r="I1240" t="str">
        <f>_xlfn.XLOOKUP($C1240,dim_campaigns!$D$2:$D$3,dim_campaigns!$A$2:$A$3,"",0)</f>
        <v>Sankranti</v>
      </c>
      <c r="J1240" s="6">
        <f t="shared" si="38"/>
        <v>0.39926739926739929</v>
      </c>
      <c r="K1240">
        <f t="shared" si="39"/>
        <v>90977.68</v>
      </c>
      <c r="L1240" t="str">
        <f>VLOOKUP($B1240,dim_stores!$A$1:$C$51,2,0)</f>
        <v>Bengaluru</v>
      </c>
    </row>
    <row r="1241" spans="1:12" x14ac:dyDescent="0.3">
      <c r="A1241">
        <v>693708</v>
      </c>
      <c r="B1241" t="s">
        <v>50</v>
      </c>
      <c r="C1241" t="s">
        <v>10</v>
      </c>
      <c r="D1241" t="s">
        <v>16</v>
      </c>
      <c r="E1241">
        <v>200</v>
      </c>
      <c r="F1241" t="s">
        <v>21</v>
      </c>
      <c r="G1241">
        <v>454</v>
      </c>
      <c r="H1241">
        <v>1788</v>
      </c>
      <c r="I1241" t="str">
        <f>_xlfn.XLOOKUP($C1241,dim_campaigns!$D$2:$D$3,dim_campaigns!$A$2:$A$3,"",0)</f>
        <v>Sankranti</v>
      </c>
      <c r="J1241" s="6">
        <f t="shared" si="38"/>
        <v>2.9383259911894273</v>
      </c>
      <c r="K1241">
        <f t="shared" si="39"/>
        <v>269600</v>
      </c>
      <c r="L1241" t="str">
        <f>VLOOKUP($B1241,dim_stores!$A$1:$C$51,2,0)</f>
        <v>Bengaluru</v>
      </c>
    </row>
    <row r="1242" spans="1:12" x14ac:dyDescent="0.3">
      <c r="A1242" t="s">
        <v>1241</v>
      </c>
      <c r="B1242" t="s">
        <v>56</v>
      </c>
      <c r="C1242" t="s">
        <v>15</v>
      </c>
      <c r="D1242" t="s">
        <v>68</v>
      </c>
      <c r="E1242">
        <v>1020</v>
      </c>
      <c r="F1242" t="s">
        <v>21</v>
      </c>
      <c r="G1242">
        <v>57</v>
      </c>
      <c r="H1242">
        <v>189</v>
      </c>
      <c r="I1242" t="str">
        <f>_xlfn.XLOOKUP($C1242,dim_campaigns!$D$2:$D$3,dim_campaigns!$A$2:$A$3,"",0)</f>
        <v>Diwali</v>
      </c>
      <c r="J1242" s="6">
        <f t="shared" si="38"/>
        <v>2.3157894736842106</v>
      </c>
      <c r="K1242">
        <f t="shared" si="39"/>
        <v>154530</v>
      </c>
      <c r="L1242" t="str">
        <f>VLOOKUP($B1242,dim_stores!$A$1:$C$51,2,0)</f>
        <v>Chennai</v>
      </c>
    </row>
    <row r="1243" spans="1:12" x14ac:dyDescent="0.3">
      <c r="A1243" t="s">
        <v>1242</v>
      </c>
      <c r="B1243" t="s">
        <v>119</v>
      </c>
      <c r="C1243" t="s">
        <v>15</v>
      </c>
      <c r="D1243" t="s">
        <v>20</v>
      </c>
      <c r="E1243">
        <v>300</v>
      </c>
      <c r="F1243" t="s">
        <v>21</v>
      </c>
      <c r="G1243">
        <v>64</v>
      </c>
      <c r="H1243">
        <v>257</v>
      </c>
      <c r="I1243" t="str">
        <f>_xlfn.XLOOKUP($C1243,dim_campaigns!$D$2:$D$3,dim_campaigns!$A$2:$A$3,"",0)</f>
        <v>Diwali</v>
      </c>
      <c r="J1243" s="6">
        <f t="shared" si="38"/>
        <v>3.015625</v>
      </c>
      <c r="K1243">
        <f t="shared" si="39"/>
        <v>57750</v>
      </c>
      <c r="L1243" t="str">
        <f>VLOOKUP($B1243,dim_stores!$A$1:$C$51,2,0)</f>
        <v>Chennai</v>
      </c>
    </row>
    <row r="1244" spans="1:12" x14ac:dyDescent="0.3">
      <c r="A1244" t="s">
        <v>1243</v>
      </c>
      <c r="B1244" t="s">
        <v>45</v>
      </c>
      <c r="C1244" t="s">
        <v>15</v>
      </c>
      <c r="D1244" t="s">
        <v>85</v>
      </c>
      <c r="E1244">
        <v>110</v>
      </c>
      <c r="F1244" t="s">
        <v>12</v>
      </c>
      <c r="G1244">
        <v>78</v>
      </c>
      <c r="H1244">
        <v>102</v>
      </c>
      <c r="I1244" t="str">
        <f>_xlfn.XLOOKUP($C1244,dim_campaigns!$D$2:$D$3,dim_campaigns!$A$2:$A$3,"",0)</f>
        <v>Diwali</v>
      </c>
      <c r="J1244" s="6">
        <f t="shared" si="38"/>
        <v>0.30769230769230771</v>
      </c>
      <c r="K1244">
        <f t="shared" si="39"/>
        <v>14190</v>
      </c>
      <c r="L1244" t="str">
        <f>VLOOKUP($B1244,dim_stores!$A$1:$C$51,2,0)</f>
        <v>Hyderabad</v>
      </c>
    </row>
    <row r="1245" spans="1:12" x14ac:dyDescent="0.3">
      <c r="A1245" t="s">
        <v>1244</v>
      </c>
      <c r="B1245" t="s">
        <v>37</v>
      </c>
      <c r="C1245" t="s">
        <v>15</v>
      </c>
      <c r="D1245" t="s">
        <v>32</v>
      </c>
      <c r="E1245">
        <v>65</v>
      </c>
      <c r="F1245" t="s">
        <v>12</v>
      </c>
      <c r="G1245">
        <v>57</v>
      </c>
      <c r="H1245">
        <v>72</v>
      </c>
      <c r="I1245" t="str">
        <f>_xlfn.XLOOKUP($C1245,dim_campaigns!$D$2:$D$3,dim_campaigns!$A$2:$A$3,"",0)</f>
        <v>Diwali</v>
      </c>
      <c r="J1245" s="6">
        <f t="shared" si="38"/>
        <v>0.26315789473684209</v>
      </c>
      <c r="K1245">
        <f t="shared" si="39"/>
        <v>6045</v>
      </c>
      <c r="L1245" t="str">
        <f>VLOOKUP($B1245,dim_stores!$A$1:$C$51,2,0)</f>
        <v>Coimbatore</v>
      </c>
    </row>
    <row r="1246" spans="1:12" x14ac:dyDescent="0.3">
      <c r="A1246" t="s">
        <v>1245</v>
      </c>
      <c r="B1246" t="s">
        <v>27</v>
      </c>
      <c r="C1246" t="s">
        <v>10</v>
      </c>
      <c r="D1246" t="s">
        <v>68</v>
      </c>
      <c r="E1246">
        <v>1020</v>
      </c>
      <c r="F1246" t="s">
        <v>21</v>
      </c>
      <c r="G1246">
        <v>103</v>
      </c>
      <c r="H1246">
        <v>444</v>
      </c>
      <c r="I1246" t="str">
        <f>_xlfn.XLOOKUP($C1246,dim_campaigns!$D$2:$D$3,dim_campaigns!$A$2:$A$3,"",0)</f>
        <v>Sankranti</v>
      </c>
      <c r="J1246" s="6">
        <f t="shared" si="38"/>
        <v>3.3106796116504853</v>
      </c>
      <c r="K1246">
        <f t="shared" si="39"/>
        <v>331500</v>
      </c>
      <c r="L1246" t="str">
        <f>VLOOKUP($B1246,dim_stores!$A$1:$C$51,2,0)</f>
        <v>Bengaluru</v>
      </c>
    </row>
    <row r="1247" spans="1:12" x14ac:dyDescent="0.3">
      <c r="A1247" t="s">
        <v>1246</v>
      </c>
      <c r="B1247" t="s">
        <v>93</v>
      </c>
      <c r="C1247" t="s">
        <v>15</v>
      </c>
      <c r="D1247" t="s">
        <v>24</v>
      </c>
      <c r="E1247">
        <v>3000</v>
      </c>
      <c r="F1247" t="s">
        <v>25</v>
      </c>
      <c r="G1247">
        <v>379</v>
      </c>
      <c r="H1247">
        <v>1095</v>
      </c>
      <c r="I1247" t="str">
        <f>_xlfn.XLOOKUP($C1247,dim_campaigns!$D$2:$D$3,dim_campaigns!$A$2:$A$3,"",0)</f>
        <v>Diwali</v>
      </c>
      <c r="J1247" s="6">
        <f t="shared" si="38"/>
        <v>1.8891820580474934</v>
      </c>
      <c r="K1247">
        <f t="shared" si="39"/>
        <v>3874500</v>
      </c>
      <c r="L1247" t="str">
        <f>VLOOKUP($B1247,dim_stores!$A$1:$C$51,2,0)</f>
        <v>Bengaluru</v>
      </c>
    </row>
    <row r="1248" spans="1:12" x14ac:dyDescent="0.3">
      <c r="A1248" t="s">
        <v>1247</v>
      </c>
      <c r="B1248" t="s">
        <v>9</v>
      </c>
      <c r="C1248" t="s">
        <v>15</v>
      </c>
      <c r="D1248" t="s">
        <v>28</v>
      </c>
      <c r="E1248">
        <v>55</v>
      </c>
      <c r="F1248" t="s">
        <v>17</v>
      </c>
      <c r="G1248">
        <v>99</v>
      </c>
      <c r="H1248">
        <v>86</v>
      </c>
      <c r="I1248" t="str">
        <f>_xlfn.XLOOKUP($C1248,dim_campaigns!$D$2:$D$3,dim_campaigns!$A$2:$A$3,"",0)</f>
        <v>Diwali</v>
      </c>
      <c r="J1248" s="6">
        <f t="shared" si="38"/>
        <v>-0.13131313131313133</v>
      </c>
      <c r="K1248">
        <f t="shared" si="39"/>
        <v>8992.5</v>
      </c>
      <c r="L1248" t="str">
        <f>VLOOKUP($B1248,dim_stores!$A$1:$C$51,2,0)</f>
        <v>Coimbatore</v>
      </c>
    </row>
    <row r="1249" spans="1:12" x14ac:dyDescent="0.3">
      <c r="A1249" t="s">
        <v>1248</v>
      </c>
      <c r="B1249" t="s">
        <v>23</v>
      </c>
      <c r="C1249" t="s">
        <v>10</v>
      </c>
      <c r="D1249" t="s">
        <v>51</v>
      </c>
      <c r="E1249">
        <v>370</v>
      </c>
      <c r="F1249" t="s">
        <v>21</v>
      </c>
      <c r="G1249">
        <v>370</v>
      </c>
      <c r="H1249">
        <v>1439</v>
      </c>
      <c r="I1249" t="str">
        <f>_xlfn.XLOOKUP($C1249,dim_campaigns!$D$2:$D$3,dim_campaigns!$A$2:$A$3,"",0)</f>
        <v>Sankranti</v>
      </c>
      <c r="J1249" s="6">
        <f t="shared" si="38"/>
        <v>2.8891891891891892</v>
      </c>
      <c r="K1249">
        <f t="shared" si="39"/>
        <v>403115</v>
      </c>
      <c r="L1249" t="str">
        <f>VLOOKUP($B1249,dim_stores!$A$1:$C$51,2,0)</f>
        <v>Coimbatore</v>
      </c>
    </row>
    <row r="1250" spans="1:12" x14ac:dyDescent="0.3">
      <c r="A1250" t="s">
        <v>1249</v>
      </c>
      <c r="B1250" t="s">
        <v>29</v>
      </c>
      <c r="C1250" t="s">
        <v>10</v>
      </c>
      <c r="D1250" t="s">
        <v>16</v>
      </c>
      <c r="E1250">
        <v>200</v>
      </c>
      <c r="F1250" t="s">
        <v>21</v>
      </c>
      <c r="G1250">
        <v>415</v>
      </c>
      <c r="H1250">
        <v>1622</v>
      </c>
      <c r="I1250" t="str">
        <f>_xlfn.XLOOKUP($C1250,dim_campaigns!$D$2:$D$3,dim_campaigns!$A$2:$A$3,"",0)</f>
        <v>Sankranti</v>
      </c>
      <c r="J1250" s="6">
        <f t="shared" si="38"/>
        <v>2.9084337349397589</v>
      </c>
      <c r="K1250">
        <f t="shared" si="39"/>
        <v>245200</v>
      </c>
      <c r="L1250" t="str">
        <f>VLOOKUP($B1250,dim_stores!$A$1:$C$51,2,0)</f>
        <v>Bengaluru</v>
      </c>
    </row>
    <row r="1251" spans="1:12" x14ac:dyDescent="0.3">
      <c r="A1251" t="s">
        <v>1250</v>
      </c>
      <c r="B1251" t="s">
        <v>142</v>
      </c>
      <c r="C1251" t="s">
        <v>15</v>
      </c>
      <c r="D1251" t="s">
        <v>85</v>
      </c>
      <c r="E1251">
        <v>110</v>
      </c>
      <c r="F1251" t="s">
        <v>12</v>
      </c>
      <c r="G1251">
        <v>47</v>
      </c>
      <c r="H1251">
        <v>62</v>
      </c>
      <c r="I1251" t="str">
        <f>_xlfn.XLOOKUP($C1251,dim_campaigns!$D$2:$D$3,dim_campaigns!$A$2:$A$3,"",0)</f>
        <v>Diwali</v>
      </c>
      <c r="J1251" s="6">
        <f t="shared" si="38"/>
        <v>0.31914893617021278</v>
      </c>
      <c r="K1251">
        <f t="shared" si="39"/>
        <v>8580</v>
      </c>
      <c r="L1251" t="str">
        <f>VLOOKUP($B1251,dim_stores!$A$1:$C$51,2,0)</f>
        <v>Madurai</v>
      </c>
    </row>
    <row r="1252" spans="1:12" x14ac:dyDescent="0.3">
      <c r="A1252" t="s">
        <v>1251</v>
      </c>
      <c r="B1252" t="s">
        <v>47</v>
      </c>
      <c r="C1252" t="s">
        <v>15</v>
      </c>
      <c r="D1252" t="s">
        <v>24</v>
      </c>
      <c r="E1252">
        <v>3000</v>
      </c>
      <c r="F1252" t="s">
        <v>25</v>
      </c>
      <c r="G1252">
        <v>432</v>
      </c>
      <c r="H1252">
        <v>1291</v>
      </c>
      <c r="I1252" t="str">
        <f>_xlfn.XLOOKUP($C1252,dim_campaigns!$D$2:$D$3,dim_campaigns!$A$2:$A$3,"",0)</f>
        <v>Diwali</v>
      </c>
      <c r="J1252" s="6">
        <f t="shared" si="38"/>
        <v>1.9884259259259258</v>
      </c>
      <c r="K1252">
        <f t="shared" si="39"/>
        <v>4523500</v>
      </c>
      <c r="L1252" t="str">
        <f>VLOOKUP($B1252,dim_stores!$A$1:$C$51,2,0)</f>
        <v>Chennai</v>
      </c>
    </row>
    <row r="1253" spans="1:12" x14ac:dyDescent="0.3">
      <c r="A1253" t="s">
        <v>1252</v>
      </c>
      <c r="B1253" t="s">
        <v>31</v>
      </c>
      <c r="C1253" t="s">
        <v>15</v>
      </c>
      <c r="D1253" t="s">
        <v>85</v>
      </c>
      <c r="E1253">
        <v>110</v>
      </c>
      <c r="F1253" t="s">
        <v>12</v>
      </c>
      <c r="G1253">
        <v>64</v>
      </c>
      <c r="H1253">
        <v>98</v>
      </c>
      <c r="I1253" t="str">
        <f>_xlfn.XLOOKUP($C1253,dim_campaigns!$D$2:$D$3,dim_campaigns!$A$2:$A$3,"",0)</f>
        <v>Diwali</v>
      </c>
      <c r="J1253" s="6">
        <f t="shared" si="38"/>
        <v>0.53125</v>
      </c>
      <c r="K1253">
        <f t="shared" si="39"/>
        <v>12430</v>
      </c>
      <c r="L1253" t="str">
        <f>VLOOKUP($B1253,dim_stores!$A$1:$C$51,2,0)</f>
        <v>Visakhapatnam</v>
      </c>
    </row>
    <row r="1254" spans="1:12" x14ac:dyDescent="0.3">
      <c r="A1254" t="s">
        <v>1253</v>
      </c>
      <c r="B1254" t="s">
        <v>99</v>
      </c>
      <c r="C1254" t="s">
        <v>15</v>
      </c>
      <c r="D1254" t="s">
        <v>68</v>
      </c>
      <c r="E1254">
        <v>1020</v>
      </c>
      <c r="F1254" t="s">
        <v>21</v>
      </c>
      <c r="G1254">
        <v>22</v>
      </c>
      <c r="H1254">
        <v>73</v>
      </c>
      <c r="I1254" t="str">
        <f>_xlfn.XLOOKUP($C1254,dim_campaigns!$D$2:$D$3,dim_campaigns!$A$2:$A$3,"",0)</f>
        <v>Diwali</v>
      </c>
      <c r="J1254" s="6">
        <f t="shared" si="38"/>
        <v>2.3181818181818183</v>
      </c>
      <c r="K1254">
        <f t="shared" si="39"/>
        <v>59670</v>
      </c>
      <c r="L1254" t="str">
        <f>VLOOKUP($B1254,dim_stores!$A$1:$C$51,2,0)</f>
        <v>Coimbatore</v>
      </c>
    </row>
    <row r="1255" spans="1:12" x14ac:dyDescent="0.3">
      <c r="A1255" t="s">
        <v>1254</v>
      </c>
      <c r="B1255" t="s">
        <v>19</v>
      </c>
      <c r="C1255" t="s">
        <v>15</v>
      </c>
      <c r="D1255" t="s">
        <v>35</v>
      </c>
      <c r="E1255">
        <v>350</v>
      </c>
      <c r="F1255" t="s">
        <v>21</v>
      </c>
      <c r="G1255">
        <v>45</v>
      </c>
      <c r="H1255">
        <v>157</v>
      </c>
      <c r="I1255" t="str">
        <f>_xlfn.XLOOKUP($C1255,dim_campaigns!$D$2:$D$3,dim_campaigns!$A$2:$A$3,"",0)</f>
        <v>Diwali</v>
      </c>
      <c r="J1255" s="6">
        <f t="shared" si="38"/>
        <v>2.4888888888888889</v>
      </c>
      <c r="K1255">
        <f t="shared" si="39"/>
        <v>43225</v>
      </c>
      <c r="L1255" t="str">
        <f>VLOOKUP($B1255,dim_stores!$A$1:$C$51,2,0)</f>
        <v>Vijayawada</v>
      </c>
    </row>
    <row r="1256" spans="1:12" x14ac:dyDescent="0.3">
      <c r="A1256" t="s">
        <v>1255</v>
      </c>
      <c r="B1256" t="s">
        <v>42</v>
      </c>
      <c r="C1256" t="s">
        <v>15</v>
      </c>
      <c r="D1256" t="s">
        <v>51</v>
      </c>
      <c r="E1256">
        <v>290</v>
      </c>
      <c r="F1256" t="s">
        <v>17</v>
      </c>
      <c r="G1256">
        <v>343</v>
      </c>
      <c r="H1256">
        <v>312</v>
      </c>
      <c r="I1256" t="str">
        <f>_xlfn.XLOOKUP($C1256,dim_campaigns!$D$2:$D$3,dim_campaigns!$A$2:$A$3,"",0)</f>
        <v>Diwali</v>
      </c>
      <c r="J1256" s="6">
        <f t="shared" si="38"/>
        <v>-9.0379008746355682E-2</v>
      </c>
      <c r="K1256">
        <f t="shared" si="39"/>
        <v>167330</v>
      </c>
      <c r="L1256" t="str">
        <f>VLOOKUP($B1256,dim_stores!$A$1:$C$51,2,0)</f>
        <v>Mysuru</v>
      </c>
    </row>
    <row r="1257" spans="1:12" x14ac:dyDescent="0.3">
      <c r="A1257" t="s">
        <v>1256</v>
      </c>
      <c r="B1257" t="s">
        <v>78</v>
      </c>
      <c r="C1257" t="s">
        <v>10</v>
      </c>
      <c r="D1257" t="s">
        <v>28</v>
      </c>
      <c r="E1257">
        <v>55</v>
      </c>
      <c r="F1257" t="s">
        <v>17</v>
      </c>
      <c r="G1257">
        <v>28</v>
      </c>
      <c r="H1257">
        <v>22</v>
      </c>
      <c r="I1257" t="str">
        <f>_xlfn.XLOOKUP($C1257,dim_campaigns!$D$2:$D$3,dim_campaigns!$A$2:$A$3,"",0)</f>
        <v>Sankranti</v>
      </c>
      <c r="J1257" s="6">
        <f t="shared" si="38"/>
        <v>-0.21428571428571427</v>
      </c>
      <c r="K1257">
        <f t="shared" si="39"/>
        <v>2447.5</v>
      </c>
      <c r="L1257" t="str">
        <f>VLOOKUP($B1257,dim_stores!$A$1:$C$51,2,0)</f>
        <v>Mysuru</v>
      </c>
    </row>
    <row r="1258" spans="1:12" x14ac:dyDescent="0.3">
      <c r="A1258" t="s">
        <v>1257</v>
      </c>
      <c r="B1258" t="s">
        <v>29</v>
      </c>
      <c r="C1258" t="s">
        <v>15</v>
      </c>
      <c r="D1258" t="s">
        <v>43</v>
      </c>
      <c r="E1258">
        <v>415</v>
      </c>
      <c r="F1258" t="s">
        <v>17</v>
      </c>
      <c r="G1258">
        <v>101</v>
      </c>
      <c r="H1258">
        <v>90</v>
      </c>
      <c r="I1258" t="str">
        <f>_xlfn.XLOOKUP($C1258,dim_campaigns!$D$2:$D$3,dim_campaigns!$A$2:$A$3,"",0)</f>
        <v>Diwali</v>
      </c>
      <c r="J1258" s="6">
        <f t="shared" si="38"/>
        <v>-0.10891089108910891</v>
      </c>
      <c r="K1258">
        <f t="shared" si="39"/>
        <v>69927.5</v>
      </c>
      <c r="L1258" t="str">
        <f>VLOOKUP($B1258,dim_stores!$A$1:$C$51,2,0)</f>
        <v>Bengaluru</v>
      </c>
    </row>
    <row r="1259" spans="1:12" x14ac:dyDescent="0.3">
      <c r="A1259" t="s">
        <v>1258</v>
      </c>
      <c r="B1259" t="s">
        <v>107</v>
      </c>
      <c r="C1259" t="s">
        <v>10</v>
      </c>
      <c r="D1259" t="s">
        <v>16</v>
      </c>
      <c r="E1259">
        <v>200</v>
      </c>
      <c r="F1259" t="s">
        <v>21</v>
      </c>
      <c r="G1259">
        <v>384</v>
      </c>
      <c r="H1259">
        <v>1509</v>
      </c>
      <c r="I1259" t="str">
        <f>_xlfn.XLOOKUP($C1259,dim_campaigns!$D$2:$D$3,dim_campaigns!$A$2:$A$3,"",0)</f>
        <v>Sankranti</v>
      </c>
      <c r="J1259" s="6">
        <f t="shared" si="38"/>
        <v>2.9296875</v>
      </c>
      <c r="K1259">
        <f t="shared" si="39"/>
        <v>227700</v>
      </c>
      <c r="L1259" t="str">
        <f>VLOOKUP($B1259,dim_stores!$A$1:$C$51,2,0)</f>
        <v>Coimbatore</v>
      </c>
    </row>
    <row r="1260" spans="1:12" x14ac:dyDescent="0.3">
      <c r="A1260" s="1">
        <v>3.5900000000000002E+89</v>
      </c>
      <c r="B1260" t="s">
        <v>50</v>
      </c>
      <c r="C1260" t="s">
        <v>10</v>
      </c>
      <c r="D1260" t="s">
        <v>43</v>
      </c>
      <c r="E1260">
        <v>415</v>
      </c>
      <c r="F1260" t="s">
        <v>17</v>
      </c>
      <c r="G1260">
        <v>22</v>
      </c>
      <c r="H1260">
        <v>16</v>
      </c>
      <c r="I1260" t="str">
        <f>_xlfn.XLOOKUP($C1260,dim_campaigns!$D$2:$D$3,dim_campaigns!$A$2:$A$3,"",0)</f>
        <v>Sankranti</v>
      </c>
      <c r="J1260" s="6">
        <f t="shared" si="38"/>
        <v>-0.27272727272727271</v>
      </c>
      <c r="K1260">
        <f t="shared" si="39"/>
        <v>14110</v>
      </c>
      <c r="L1260" t="str">
        <f>VLOOKUP($B1260,dim_stores!$A$1:$C$51,2,0)</f>
        <v>Bengaluru</v>
      </c>
    </row>
    <row r="1261" spans="1:12" x14ac:dyDescent="0.3">
      <c r="A1261" t="s">
        <v>1259</v>
      </c>
      <c r="B1261" t="s">
        <v>34</v>
      </c>
      <c r="C1261" t="s">
        <v>15</v>
      </c>
      <c r="D1261" t="s">
        <v>32</v>
      </c>
      <c r="E1261">
        <v>65</v>
      </c>
      <c r="F1261" t="s">
        <v>12</v>
      </c>
      <c r="G1261">
        <v>148</v>
      </c>
      <c r="H1261">
        <v>196</v>
      </c>
      <c r="I1261" t="str">
        <f>_xlfn.XLOOKUP($C1261,dim_campaigns!$D$2:$D$3,dim_campaigns!$A$2:$A$3,"",0)</f>
        <v>Diwali</v>
      </c>
      <c r="J1261" s="6">
        <f t="shared" si="38"/>
        <v>0.32432432432432434</v>
      </c>
      <c r="K1261">
        <f t="shared" si="39"/>
        <v>15990</v>
      </c>
      <c r="L1261" t="str">
        <f>VLOOKUP($B1261,dim_stores!$A$1:$C$51,2,0)</f>
        <v>Hyderabad</v>
      </c>
    </row>
    <row r="1262" spans="1:12" x14ac:dyDescent="0.3">
      <c r="A1262">
        <v>480431</v>
      </c>
      <c r="B1262" t="s">
        <v>31</v>
      </c>
      <c r="C1262" t="s">
        <v>10</v>
      </c>
      <c r="D1262" t="s">
        <v>51</v>
      </c>
      <c r="E1262">
        <v>370</v>
      </c>
      <c r="F1262" t="s">
        <v>21</v>
      </c>
      <c r="G1262">
        <v>408</v>
      </c>
      <c r="H1262">
        <v>1607</v>
      </c>
      <c r="I1262" t="str">
        <f>_xlfn.XLOOKUP($C1262,dim_campaigns!$D$2:$D$3,dim_campaigns!$A$2:$A$3,"",0)</f>
        <v>Sankranti</v>
      </c>
      <c r="J1262" s="6">
        <f t="shared" si="38"/>
        <v>2.9387254901960786</v>
      </c>
      <c r="K1262">
        <f t="shared" si="39"/>
        <v>448255</v>
      </c>
      <c r="L1262" t="str">
        <f>VLOOKUP($B1262,dim_stores!$A$1:$C$51,2,0)</f>
        <v>Visakhapatnam</v>
      </c>
    </row>
    <row r="1263" spans="1:12" x14ac:dyDescent="0.3">
      <c r="A1263" t="s">
        <v>1260</v>
      </c>
      <c r="B1263" t="s">
        <v>65</v>
      </c>
      <c r="C1263" t="s">
        <v>10</v>
      </c>
      <c r="D1263" t="s">
        <v>24</v>
      </c>
      <c r="E1263">
        <v>3000</v>
      </c>
      <c r="F1263" t="s">
        <v>25</v>
      </c>
      <c r="G1263">
        <v>122</v>
      </c>
      <c r="H1263">
        <v>272</v>
      </c>
      <c r="I1263" t="str">
        <f>_xlfn.XLOOKUP($C1263,dim_campaigns!$D$2:$D$3,dim_campaigns!$A$2:$A$3,"",0)</f>
        <v>Sankranti</v>
      </c>
      <c r="J1263" s="6">
        <f t="shared" si="38"/>
        <v>1.2295081967213115</v>
      </c>
      <c r="K1263">
        <f t="shared" si="39"/>
        <v>1046000</v>
      </c>
      <c r="L1263" t="str">
        <f>VLOOKUP($B1263,dim_stores!$A$1:$C$51,2,0)</f>
        <v>Hyderabad</v>
      </c>
    </row>
    <row r="1264" spans="1:12" x14ac:dyDescent="0.3">
      <c r="A1264">
        <v>508621</v>
      </c>
      <c r="B1264" t="s">
        <v>9</v>
      </c>
      <c r="C1264" t="s">
        <v>10</v>
      </c>
      <c r="D1264" t="s">
        <v>53</v>
      </c>
      <c r="E1264">
        <v>860</v>
      </c>
      <c r="F1264" t="s">
        <v>54</v>
      </c>
      <c r="G1264">
        <v>508</v>
      </c>
      <c r="H1264">
        <v>751</v>
      </c>
      <c r="I1264" t="str">
        <f>_xlfn.XLOOKUP($C1264,dim_campaigns!$D$2:$D$3,dim_campaigns!$A$2:$A$3,"",0)</f>
        <v>Sankranti</v>
      </c>
      <c r="J1264" s="6">
        <f t="shared" si="38"/>
        <v>0.47834645669291337</v>
      </c>
      <c r="K1264">
        <f t="shared" si="39"/>
        <v>869606.2</v>
      </c>
      <c r="L1264" t="str">
        <f>VLOOKUP($B1264,dim_stores!$A$1:$C$51,2,0)</f>
        <v>Coimbatore</v>
      </c>
    </row>
    <row r="1265" spans="1:12" x14ac:dyDescent="0.3">
      <c r="A1265" t="s">
        <v>1261</v>
      </c>
      <c r="B1265" t="s">
        <v>142</v>
      </c>
      <c r="C1265" t="s">
        <v>10</v>
      </c>
      <c r="D1265" t="s">
        <v>61</v>
      </c>
      <c r="E1265">
        <v>172</v>
      </c>
      <c r="F1265" t="s">
        <v>54</v>
      </c>
      <c r="G1265">
        <v>244</v>
      </c>
      <c r="H1265">
        <v>334</v>
      </c>
      <c r="I1265" t="str">
        <f>_xlfn.XLOOKUP($C1265,dim_campaigns!$D$2:$D$3,dim_campaigns!$A$2:$A$3,"",0)</f>
        <v>Sankranti</v>
      </c>
      <c r="J1265" s="6">
        <f t="shared" si="38"/>
        <v>0.36885245901639346</v>
      </c>
      <c r="K1265">
        <f t="shared" si="39"/>
        <v>80458.16</v>
      </c>
      <c r="L1265" t="str">
        <f>VLOOKUP($B1265,dim_stores!$A$1:$C$51,2,0)</f>
        <v>Madurai</v>
      </c>
    </row>
    <row r="1266" spans="1:12" x14ac:dyDescent="0.3">
      <c r="A1266" t="s">
        <v>1262</v>
      </c>
      <c r="B1266" t="s">
        <v>56</v>
      </c>
      <c r="C1266" t="s">
        <v>15</v>
      </c>
      <c r="D1266" t="s">
        <v>51</v>
      </c>
      <c r="E1266">
        <v>290</v>
      </c>
      <c r="F1266" t="s">
        <v>17</v>
      </c>
      <c r="G1266">
        <v>295</v>
      </c>
      <c r="H1266">
        <v>289</v>
      </c>
      <c r="I1266" t="str">
        <f>_xlfn.XLOOKUP($C1266,dim_campaigns!$D$2:$D$3,dim_campaigns!$A$2:$A$3,"",0)</f>
        <v>Diwali</v>
      </c>
      <c r="J1266" s="6">
        <f t="shared" si="38"/>
        <v>-2.0338983050847456E-2</v>
      </c>
      <c r="K1266">
        <f t="shared" si="39"/>
        <v>148407.5</v>
      </c>
      <c r="L1266" t="str">
        <f>VLOOKUP($B1266,dim_stores!$A$1:$C$51,2,0)</f>
        <v>Chennai</v>
      </c>
    </row>
    <row r="1267" spans="1:12" x14ac:dyDescent="0.3">
      <c r="A1267" t="s">
        <v>1263</v>
      </c>
      <c r="B1267" t="s">
        <v>27</v>
      </c>
      <c r="C1267" t="s">
        <v>15</v>
      </c>
      <c r="D1267" t="s">
        <v>68</v>
      </c>
      <c r="E1267">
        <v>1020</v>
      </c>
      <c r="F1267" t="s">
        <v>21</v>
      </c>
      <c r="G1267">
        <v>47</v>
      </c>
      <c r="H1267">
        <v>179</v>
      </c>
      <c r="I1267" t="str">
        <f>_xlfn.XLOOKUP($C1267,dim_campaigns!$D$2:$D$3,dim_campaigns!$A$2:$A$3,"",0)</f>
        <v>Diwali</v>
      </c>
      <c r="J1267" s="6">
        <f t="shared" si="38"/>
        <v>2.8085106382978724</v>
      </c>
      <c r="K1267">
        <f t="shared" si="39"/>
        <v>139230</v>
      </c>
      <c r="L1267" t="str">
        <f>VLOOKUP($B1267,dim_stores!$A$1:$C$51,2,0)</f>
        <v>Bengaluru</v>
      </c>
    </row>
    <row r="1268" spans="1:12" x14ac:dyDescent="0.3">
      <c r="A1268" t="s">
        <v>1264</v>
      </c>
      <c r="B1268" t="s">
        <v>174</v>
      </c>
      <c r="C1268" t="s">
        <v>15</v>
      </c>
      <c r="D1268" t="s">
        <v>53</v>
      </c>
      <c r="E1268">
        <v>860</v>
      </c>
      <c r="F1268" t="s">
        <v>54</v>
      </c>
      <c r="G1268">
        <v>199</v>
      </c>
      <c r="H1268">
        <v>300</v>
      </c>
      <c r="I1268" t="str">
        <f>_xlfn.XLOOKUP($C1268,dim_campaigns!$D$2:$D$3,dim_campaigns!$A$2:$A$3,"",0)</f>
        <v>Diwali</v>
      </c>
      <c r="J1268" s="6">
        <f t="shared" si="38"/>
        <v>0.50753768844221103</v>
      </c>
      <c r="K1268">
        <f t="shared" si="39"/>
        <v>344000</v>
      </c>
      <c r="L1268" t="str">
        <f>VLOOKUP($B1268,dim_stores!$A$1:$C$51,2,0)</f>
        <v>Trivandrum</v>
      </c>
    </row>
    <row r="1269" spans="1:12" x14ac:dyDescent="0.3">
      <c r="A1269">
        <v>17195</v>
      </c>
      <c r="B1269" t="s">
        <v>70</v>
      </c>
      <c r="C1269" t="s">
        <v>10</v>
      </c>
      <c r="D1269" t="s">
        <v>11</v>
      </c>
      <c r="E1269">
        <v>190</v>
      </c>
      <c r="F1269" t="s">
        <v>12</v>
      </c>
      <c r="G1269">
        <v>45</v>
      </c>
      <c r="H1269">
        <v>64</v>
      </c>
      <c r="I1269" t="str">
        <f>_xlfn.XLOOKUP($C1269,dim_campaigns!$D$2:$D$3,dim_campaigns!$A$2:$A$3,"",0)</f>
        <v>Sankranti</v>
      </c>
      <c r="J1269" s="6">
        <f t="shared" si="38"/>
        <v>0.42222222222222222</v>
      </c>
      <c r="K1269">
        <f t="shared" si="39"/>
        <v>14630</v>
      </c>
      <c r="L1269" t="str">
        <f>VLOOKUP($B1269,dim_stores!$A$1:$C$51,2,0)</f>
        <v>Chennai</v>
      </c>
    </row>
    <row r="1270" spans="1:12" x14ac:dyDescent="0.3">
      <c r="A1270" t="s">
        <v>1265</v>
      </c>
      <c r="B1270" t="s">
        <v>9</v>
      </c>
      <c r="C1270" t="s">
        <v>15</v>
      </c>
      <c r="D1270" t="s">
        <v>16</v>
      </c>
      <c r="E1270">
        <v>156</v>
      </c>
      <c r="F1270" t="s">
        <v>17</v>
      </c>
      <c r="G1270">
        <v>225</v>
      </c>
      <c r="H1270">
        <v>195</v>
      </c>
      <c r="I1270" t="str">
        <f>_xlfn.XLOOKUP($C1270,dim_campaigns!$D$2:$D$3,dim_campaigns!$A$2:$A$3,"",0)</f>
        <v>Diwali</v>
      </c>
      <c r="J1270" s="6">
        <f t="shared" si="38"/>
        <v>-0.13333333333333333</v>
      </c>
      <c r="K1270">
        <f t="shared" si="39"/>
        <v>57915</v>
      </c>
      <c r="L1270" t="str">
        <f>VLOOKUP($B1270,dim_stores!$A$1:$C$51,2,0)</f>
        <v>Coimbatore</v>
      </c>
    </row>
    <row r="1271" spans="1:12" x14ac:dyDescent="0.3">
      <c r="A1271" t="s">
        <v>1266</v>
      </c>
      <c r="B1271" t="s">
        <v>123</v>
      </c>
      <c r="C1271" t="s">
        <v>15</v>
      </c>
      <c r="D1271" t="s">
        <v>32</v>
      </c>
      <c r="E1271">
        <v>65</v>
      </c>
      <c r="F1271" t="s">
        <v>12</v>
      </c>
      <c r="G1271">
        <v>106</v>
      </c>
      <c r="H1271">
        <v>137</v>
      </c>
      <c r="I1271" t="str">
        <f>_xlfn.XLOOKUP($C1271,dim_campaigns!$D$2:$D$3,dim_campaigns!$A$2:$A$3,"",0)</f>
        <v>Diwali</v>
      </c>
      <c r="J1271" s="6">
        <f t="shared" si="38"/>
        <v>0.29245283018867924</v>
      </c>
      <c r="K1271">
        <f t="shared" si="39"/>
        <v>11342.5</v>
      </c>
      <c r="L1271" t="str">
        <f>VLOOKUP($B1271,dim_stores!$A$1:$C$51,2,0)</f>
        <v>Bengaluru</v>
      </c>
    </row>
    <row r="1272" spans="1:12" x14ac:dyDescent="0.3">
      <c r="A1272" t="s">
        <v>1267</v>
      </c>
      <c r="B1272" t="s">
        <v>212</v>
      </c>
      <c r="C1272" t="s">
        <v>10</v>
      </c>
      <c r="D1272" t="s">
        <v>48</v>
      </c>
      <c r="E1272">
        <v>62</v>
      </c>
      <c r="F1272" t="s">
        <v>12</v>
      </c>
      <c r="G1272">
        <v>58</v>
      </c>
      <c r="H1272">
        <v>92</v>
      </c>
      <c r="I1272" t="str">
        <f>_xlfn.XLOOKUP($C1272,dim_campaigns!$D$2:$D$3,dim_campaigns!$A$2:$A$3,"",0)</f>
        <v>Sankranti</v>
      </c>
      <c r="J1272" s="6">
        <f t="shared" si="38"/>
        <v>0.58620689655172409</v>
      </c>
      <c r="K1272">
        <f t="shared" si="39"/>
        <v>6448</v>
      </c>
      <c r="L1272" t="str">
        <f>VLOOKUP($B1272,dim_stores!$A$1:$C$51,2,0)</f>
        <v>Bengaluru</v>
      </c>
    </row>
    <row r="1273" spans="1:12" x14ac:dyDescent="0.3">
      <c r="A1273" t="s">
        <v>1268</v>
      </c>
      <c r="B1273" t="s">
        <v>56</v>
      </c>
      <c r="C1273" t="s">
        <v>10</v>
      </c>
      <c r="D1273" t="s">
        <v>28</v>
      </c>
      <c r="E1273">
        <v>55</v>
      </c>
      <c r="F1273" t="s">
        <v>17</v>
      </c>
      <c r="G1273">
        <v>25</v>
      </c>
      <c r="H1273">
        <v>23</v>
      </c>
      <c r="I1273" t="str">
        <f>_xlfn.XLOOKUP($C1273,dim_campaigns!$D$2:$D$3,dim_campaigns!$A$2:$A$3,"",0)</f>
        <v>Sankranti</v>
      </c>
      <c r="J1273" s="6">
        <f t="shared" si="38"/>
        <v>-0.08</v>
      </c>
      <c r="K1273">
        <f t="shared" si="39"/>
        <v>2323.75</v>
      </c>
      <c r="L1273" t="str">
        <f>VLOOKUP($B1273,dim_stores!$A$1:$C$51,2,0)</f>
        <v>Chennai</v>
      </c>
    </row>
    <row r="1274" spans="1:12" x14ac:dyDescent="0.3">
      <c r="A1274" t="s">
        <v>1269</v>
      </c>
      <c r="B1274" t="s">
        <v>89</v>
      </c>
      <c r="C1274" t="s">
        <v>10</v>
      </c>
      <c r="D1274" t="s">
        <v>48</v>
      </c>
      <c r="E1274">
        <v>62</v>
      </c>
      <c r="F1274" t="s">
        <v>12</v>
      </c>
      <c r="G1274">
        <v>30</v>
      </c>
      <c r="H1274">
        <v>42</v>
      </c>
      <c r="I1274" t="str">
        <f>_xlfn.XLOOKUP($C1274,dim_campaigns!$D$2:$D$3,dim_campaigns!$A$2:$A$3,"",0)</f>
        <v>Sankranti</v>
      </c>
      <c r="J1274" s="6">
        <f t="shared" si="38"/>
        <v>0.4</v>
      </c>
      <c r="K1274">
        <f t="shared" si="39"/>
        <v>3162</v>
      </c>
      <c r="L1274" t="str">
        <f>VLOOKUP($B1274,dim_stores!$A$1:$C$51,2,0)</f>
        <v>Vijayawada</v>
      </c>
    </row>
    <row r="1275" spans="1:12" x14ac:dyDescent="0.3">
      <c r="A1275" t="s">
        <v>1270</v>
      </c>
      <c r="B1275" t="s">
        <v>93</v>
      </c>
      <c r="C1275" t="s">
        <v>10</v>
      </c>
      <c r="D1275" t="s">
        <v>53</v>
      </c>
      <c r="E1275">
        <v>860</v>
      </c>
      <c r="F1275" t="s">
        <v>54</v>
      </c>
      <c r="G1275">
        <v>507</v>
      </c>
      <c r="H1275">
        <v>704</v>
      </c>
      <c r="I1275" t="str">
        <f>_xlfn.XLOOKUP($C1275,dim_campaigns!$D$2:$D$3,dim_campaigns!$A$2:$A$3,"",0)</f>
        <v>Sankranti</v>
      </c>
      <c r="J1275" s="6">
        <f t="shared" si="38"/>
        <v>0.38856015779092701</v>
      </c>
      <c r="K1275">
        <f t="shared" si="39"/>
        <v>841664.8</v>
      </c>
      <c r="L1275" t="str">
        <f>VLOOKUP($B1275,dim_stores!$A$1:$C$51,2,0)</f>
        <v>Bengaluru</v>
      </c>
    </row>
    <row r="1276" spans="1:12" x14ac:dyDescent="0.3">
      <c r="A1276" t="s">
        <v>1271</v>
      </c>
      <c r="B1276" t="s">
        <v>96</v>
      </c>
      <c r="C1276" t="s">
        <v>10</v>
      </c>
      <c r="D1276" t="s">
        <v>51</v>
      </c>
      <c r="E1276">
        <v>370</v>
      </c>
      <c r="F1276" t="s">
        <v>21</v>
      </c>
      <c r="G1276">
        <v>336</v>
      </c>
      <c r="H1276">
        <v>1434</v>
      </c>
      <c r="I1276" t="str">
        <f>_xlfn.XLOOKUP($C1276,dim_campaigns!$D$2:$D$3,dim_campaigns!$A$2:$A$3,"",0)</f>
        <v>Sankranti</v>
      </c>
      <c r="J1276" s="6">
        <f t="shared" si="38"/>
        <v>3.2678571428571428</v>
      </c>
      <c r="K1276">
        <f t="shared" si="39"/>
        <v>389610</v>
      </c>
      <c r="L1276" t="str">
        <f>VLOOKUP($B1276,dim_stores!$A$1:$C$51,2,0)</f>
        <v>Mysuru</v>
      </c>
    </row>
    <row r="1277" spans="1:12" x14ac:dyDescent="0.3">
      <c r="A1277" t="s">
        <v>1272</v>
      </c>
      <c r="B1277" t="s">
        <v>123</v>
      </c>
      <c r="C1277" t="s">
        <v>15</v>
      </c>
      <c r="D1277" t="s">
        <v>11</v>
      </c>
      <c r="E1277">
        <v>190</v>
      </c>
      <c r="F1277" t="s">
        <v>12</v>
      </c>
      <c r="G1277">
        <v>70</v>
      </c>
      <c r="H1277">
        <v>93</v>
      </c>
      <c r="I1277" t="str">
        <f>_xlfn.XLOOKUP($C1277,dim_campaigns!$D$2:$D$3,dim_campaigns!$A$2:$A$3,"",0)</f>
        <v>Diwali</v>
      </c>
      <c r="J1277" s="6">
        <f t="shared" si="38"/>
        <v>0.32857142857142857</v>
      </c>
      <c r="K1277">
        <f t="shared" si="39"/>
        <v>22135</v>
      </c>
      <c r="L1277" t="str">
        <f>VLOOKUP($B1277,dim_stores!$A$1:$C$51,2,0)</f>
        <v>Bengaluru</v>
      </c>
    </row>
    <row r="1278" spans="1:12" x14ac:dyDescent="0.3">
      <c r="A1278" t="s">
        <v>1273</v>
      </c>
      <c r="B1278" t="s">
        <v>113</v>
      </c>
      <c r="C1278" t="s">
        <v>10</v>
      </c>
      <c r="D1278" t="s">
        <v>11</v>
      </c>
      <c r="E1278">
        <v>190</v>
      </c>
      <c r="F1278" t="s">
        <v>12</v>
      </c>
      <c r="G1278">
        <v>48</v>
      </c>
      <c r="H1278">
        <v>55</v>
      </c>
      <c r="I1278" t="str">
        <f>_xlfn.XLOOKUP($C1278,dim_campaigns!$D$2:$D$3,dim_campaigns!$A$2:$A$3,"",0)</f>
        <v>Sankranti</v>
      </c>
      <c r="J1278" s="6">
        <f t="shared" si="38"/>
        <v>0.14583333333333334</v>
      </c>
      <c r="K1278">
        <f t="shared" si="39"/>
        <v>14345</v>
      </c>
      <c r="L1278" t="str">
        <f>VLOOKUP($B1278,dim_stores!$A$1:$C$51,2,0)</f>
        <v>Chennai</v>
      </c>
    </row>
    <row r="1279" spans="1:12" x14ac:dyDescent="0.3">
      <c r="A1279" t="s">
        <v>1274</v>
      </c>
      <c r="B1279" t="s">
        <v>60</v>
      </c>
      <c r="C1279" t="s">
        <v>15</v>
      </c>
      <c r="D1279" t="s">
        <v>51</v>
      </c>
      <c r="E1279">
        <v>290</v>
      </c>
      <c r="F1279" t="s">
        <v>17</v>
      </c>
      <c r="G1279">
        <v>180</v>
      </c>
      <c r="H1279">
        <v>171</v>
      </c>
      <c r="I1279" t="str">
        <f>_xlfn.XLOOKUP($C1279,dim_campaigns!$D$2:$D$3,dim_campaigns!$A$2:$A$3,"",0)</f>
        <v>Diwali</v>
      </c>
      <c r="J1279" s="6">
        <f t="shared" si="38"/>
        <v>-0.05</v>
      </c>
      <c r="K1279">
        <f t="shared" si="39"/>
        <v>89392.5</v>
      </c>
      <c r="L1279" t="str">
        <f>VLOOKUP($B1279,dim_stores!$A$1:$C$51,2,0)</f>
        <v>Trivandrum</v>
      </c>
    </row>
    <row r="1280" spans="1:12" x14ac:dyDescent="0.3">
      <c r="A1280" t="s">
        <v>1275</v>
      </c>
      <c r="B1280" t="s">
        <v>40</v>
      </c>
      <c r="C1280" t="s">
        <v>15</v>
      </c>
      <c r="D1280" t="s">
        <v>61</v>
      </c>
      <c r="E1280">
        <v>172</v>
      </c>
      <c r="F1280" t="s">
        <v>54</v>
      </c>
      <c r="G1280">
        <v>225</v>
      </c>
      <c r="H1280">
        <v>279</v>
      </c>
      <c r="I1280" t="str">
        <f>_xlfn.XLOOKUP($C1280,dim_campaigns!$D$2:$D$3,dim_campaigns!$A$2:$A$3,"",0)</f>
        <v>Diwali</v>
      </c>
      <c r="J1280" s="6">
        <f t="shared" si="38"/>
        <v>0.24</v>
      </c>
      <c r="K1280">
        <f t="shared" si="39"/>
        <v>70851.959999999992</v>
      </c>
      <c r="L1280" t="str">
        <f>VLOOKUP($B1280,dim_stores!$A$1:$C$51,2,0)</f>
        <v>Madurai</v>
      </c>
    </row>
    <row r="1281" spans="1:12" x14ac:dyDescent="0.3">
      <c r="A1281" t="s">
        <v>1276</v>
      </c>
      <c r="B1281" t="s">
        <v>56</v>
      </c>
      <c r="C1281" t="s">
        <v>15</v>
      </c>
      <c r="D1281" t="s">
        <v>38</v>
      </c>
      <c r="E1281">
        <v>1190</v>
      </c>
      <c r="F1281" t="s">
        <v>21</v>
      </c>
      <c r="G1281">
        <v>47</v>
      </c>
      <c r="H1281">
        <v>165</v>
      </c>
      <c r="I1281" t="str">
        <f>_xlfn.XLOOKUP($C1281,dim_campaigns!$D$2:$D$3,dim_campaigns!$A$2:$A$3,"",0)</f>
        <v>Diwali</v>
      </c>
      <c r="J1281" s="6">
        <f t="shared" si="38"/>
        <v>2.5106382978723403</v>
      </c>
      <c r="K1281">
        <f t="shared" si="39"/>
        <v>154105</v>
      </c>
      <c r="L1281" t="str">
        <f>VLOOKUP($B1281,dim_stores!$A$1:$C$51,2,0)</f>
        <v>Chennai</v>
      </c>
    </row>
    <row r="1282" spans="1:12" x14ac:dyDescent="0.3">
      <c r="A1282" t="s">
        <v>1277</v>
      </c>
      <c r="B1282" t="s">
        <v>123</v>
      </c>
      <c r="C1282" t="s">
        <v>10</v>
      </c>
      <c r="D1282" t="s">
        <v>16</v>
      </c>
      <c r="E1282">
        <v>200</v>
      </c>
      <c r="F1282" t="s">
        <v>21</v>
      </c>
      <c r="G1282">
        <v>361</v>
      </c>
      <c r="H1282">
        <v>963</v>
      </c>
      <c r="I1282" t="str">
        <f>_xlfn.XLOOKUP($C1282,dim_campaigns!$D$2:$D$3,dim_campaigns!$A$2:$A$3,"",0)</f>
        <v>Sankranti</v>
      </c>
      <c r="J1282" s="6">
        <f t="shared" si="38"/>
        <v>1.6675900277008311</v>
      </c>
      <c r="K1282">
        <f t="shared" si="39"/>
        <v>168500</v>
      </c>
      <c r="L1282" t="str">
        <f>VLOOKUP($B1282,dim_stores!$A$1:$C$51,2,0)</f>
        <v>Bengaluru</v>
      </c>
    </row>
    <row r="1283" spans="1:12" x14ac:dyDescent="0.3">
      <c r="A1283" t="s">
        <v>1278</v>
      </c>
      <c r="B1283" t="s">
        <v>52</v>
      </c>
      <c r="C1283" t="s">
        <v>10</v>
      </c>
      <c r="D1283" t="s">
        <v>51</v>
      </c>
      <c r="E1283">
        <v>370</v>
      </c>
      <c r="F1283" t="s">
        <v>21</v>
      </c>
      <c r="G1283">
        <v>291</v>
      </c>
      <c r="H1283">
        <v>762</v>
      </c>
      <c r="I1283" t="str">
        <f>_xlfn.XLOOKUP($C1283,dim_campaigns!$D$2:$D$3,dim_campaigns!$A$2:$A$3,"",0)</f>
        <v>Sankranti</v>
      </c>
      <c r="J1283" s="6">
        <f t="shared" ref="J1283:J1346" si="40">IFERROR((H1283-G1283)/G1283,0)</f>
        <v>1.6185567010309279</v>
      </c>
      <c r="K1283">
        <f t="shared" ref="K1283:K1346" si="41">E1283*G1283+(E1283-IF(F1283="500 Cashback",500,IF(F1283="BOGOF",E1283*50%,IF(F1283="25% OFF",E1283*25%,IF(F1283="33% OFF",E1283*33%,IF(F1283="50% OFF",E1283*50%,0))))))*H1283</f>
        <v>248640</v>
      </c>
      <c r="L1283" t="str">
        <f>VLOOKUP($B1283,dim_stores!$A$1:$C$51,2,0)</f>
        <v>Visakhapatnam</v>
      </c>
    </row>
    <row r="1284" spans="1:12" x14ac:dyDescent="0.3">
      <c r="A1284" t="s">
        <v>1279</v>
      </c>
      <c r="B1284" t="s">
        <v>40</v>
      </c>
      <c r="C1284" t="s">
        <v>15</v>
      </c>
      <c r="D1284" t="s">
        <v>51</v>
      </c>
      <c r="E1284">
        <v>290</v>
      </c>
      <c r="F1284" t="s">
        <v>17</v>
      </c>
      <c r="G1284">
        <v>271</v>
      </c>
      <c r="H1284">
        <v>243</v>
      </c>
      <c r="I1284" t="str">
        <f>_xlfn.XLOOKUP($C1284,dim_campaigns!$D$2:$D$3,dim_campaigns!$A$2:$A$3,"",0)</f>
        <v>Diwali</v>
      </c>
      <c r="J1284" s="6">
        <f t="shared" si="40"/>
        <v>-0.10332103321033211</v>
      </c>
      <c r="K1284">
        <f t="shared" si="41"/>
        <v>131442.5</v>
      </c>
      <c r="L1284" t="str">
        <f>VLOOKUP($B1284,dim_stores!$A$1:$C$51,2,0)</f>
        <v>Madurai</v>
      </c>
    </row>
    <row r="1285" spans="1:12" x14ac:dyDescent="0.3">
      <c r="A1285" t="s">
        <v>1280</v>
      </c>
      <c r="B1285" t="s">
        <v>123</v>
      </c>
      <c r="C1285" t="s">
        <v>10</v>
      </c>
      <c r="D1285" t="s">
        <v>48</v>
      </c>
      <c r="E1285">
        <v>62</v>
      </c>
      <c r="F1285" t="s">
        <v>12</v>
      </c>
      <c r="G1285">
        <v>73</v>
      </c>
      <c r="H1285">
        <v>102</v>
      </c>
      <c r="I1285" t="str">
        <f>_xlfn.XLOOKUP($C1285,dim_campaigns!$D$2:$D$3,dim_campaigns!$A$2:$A$3,"",0)</f>
        <v>Sankranti</v>
      </c>
      <c r="J1285" s="6">
        <f t="shared" si="40"/>
        <v>0.39726027397260272</v>
      </c>
      <c r="K1285">
        <f t="shared" si="41"/>
        <v>7688</v>
      </c>
      <c r="L1285" t="str">
        <f>VLOOKUP($B1285,dim_stores!$A$1:$C$51,2,0)</f>
        <v>Bengaluru</v>
      </c>
    </row>
    <row r="1286" spans="1:12" x14ac:dyDescent="0.3">
      <c r="A1286" t="s">
        <v>1281</v>
      </c>
      <c r="B1286" t="s">
        <v>137</v>
      </c>
      <c r="C1286" t="s">
        <v>15</v>
      </c>
      <c r="D1286" t="s">
        <v>20</v>
      </c>
      <c r="E1286">
        <v>300</v>
      </c>
      <c r="F1286" t="s">
        <v>21</v>
      </c>
      <c r="G1286">
        <v>33</v>
      </c>
      <c r="H1286">
        <v>115</v>
      </c>
      <c r="I1286" t="str">
        <f>_xlfn.XLOOKUP($C1286,dim_campaigns!$D$2:$D$3,dim_campaigns!$A$2:$A$3,"",0)</f>
        <v>Diwali</v>
      </c>
      <c r="J1286" s="6">
        <f t="shared" si="40"/>
        <v>2.4848484848484849</v>
      </c>
      <c r="K1286">
        <f t="shared" si="41"/>
        <v>27150</v>
      </c>
      <c r="L1286" t="str">
        <f>VLOOKUP($B1286,dim_stores!$A$1:$C$51,2,0)</f>
        <v>Mangalore</v>
      </c>
    </row>
    <row r="1287" spans="1:12" x14ac:dyDescent="0.3">
      <c r="A1287" t="s">
        <v>1282</v>
      </c>
      <c r="B1287" t="s">
        <v>174</v>
      </c>
      <c r="C1287" t="s">
        <v>10</v>
      </c>
      <c r="D1287" t="s">
        <v>38</v>
      </c>
      <c r="E1287">
        <v>1190</v>
      </c>
      <c r="F1287" t="s">
        <v>21</v>
      </c>
      <c r="G1287">
        <v>24</v>
      </c>
      <c r="H1287">
        <v>92</v>
      </c>
      <c r="I1287" t="str">
        <f>_xlfn.XLOOKUP($C1287,dim_campaigns!$D$2:$D$3,dim_campaigns!$A$2:$A$3,"",0)</f>
        <v>Sankranti</v>
      </c>
      <c r="J1287" s="6">
        <f t="shared" si="40"/>
        <v>2.8333333333333335</v>
      </c>
      <c r="K1287">
        <f t="shared" si="41"/>
        <v>83300</v>
      </c>
      <c r="L1287" t="str">
        <f>VLOOKUP($B1287,dim_stores!$A$1:$C$51,2,0)</f>
        <v>Trivandrum</v>
      </c>
    </row>
    <row r="1288" spans="1:12" x14ac:dyDescent="0.3">
      <c r="A1288" t="s">
        <v>1283</v>
      </c>
      <c r="B1288" t="s">
        <v>34</v>
      </c>
      <c r="C1288" t="s">
        <v>10</v>
      </c>
      <c r="D1288" t="s">
        <v>28</v>
      </c>
      <c r="E1288">
        <v>55</v>
      </c>
      <c r="F1288" t="s">
        <v>17</v>
      </c>
      <c r="G1288">
        <v>16</v>
      </c>
      <c r="H1288">
        <v>15</v>
      </c>
      <c r="I1288" t="str">
        <f>_xlfn.XLOOKUP($C1288,dim_campaigns!$D$2:$D$3,dim_campaigns!$A$2:$A$3,"",0)</f>
        <v>Sankranti</v>
      </c>
      <c r="J1288" s="6">
        <f t="shared" si="40"/>
        <v>-6.25E-2</v>
      </c>
      <c r="K1288">
        <f t="shared" si="41"/>
        <v>1498.75</v>
      </c>
      <c r="L1288" t="str">
        <f>VLOOKUP($B1288,dim_stores!$A$1:$C$51,2,0)</f>
        <v>Hyderabad</v>
      </c>
    </row>
    <row r="1289" spans="1:12" x14ac:dyDescent="0.3">
      <c r="A1289" t="s">
        <v>1284</v>
      </c>
      <c r="B1289" t="s">
        <v>89</v>
      </c>
      <c r="C1289" t="s">
        <v>10</v>
      </c>
      <c r="D1289" t="s">
        <v>20</v>
      </c>
      <c r="E1289">
        <v>300</v>
      </c>
      <c r="F1289" t="s">
        <v>21</v>
      </c>
      <c r="G1289">
        <v>22</v>
      </c>
      <c r="H1289">
        <v>88</v>
      </c>
      <c r="I1289" t="str">
        <f>_xlfn.XLOOKUP($C1289,dim_campaigns!$D$2:$D$3,dim_campaigns!$A$2:$A$3,"",0)</f>
        <v>Sankranti</v>
      </c>
      <c r="J1289" s="6">
        <f t="shared" si="40"/>
        <v>3</v>
      </c>
      <c r="K1289">
        <f t="shared" si="41"/>
        <v>19800</v>
      </c>
      <c r="L1289" t="str">
        <f>VLOOKUP($B1289,dim_stores!$A$1:$C$51,2,0)</f>
        <v>Vijayawada</v>
      </c>
    </row>
    <row r="1290" spans="1:12" x14ac:dyDescent="0.3">
      <c r="A1290" t="s">
        <v>1285</v>
      </c>
      <c r="B1290" t="s">
        <v>67</v>
      </c>
      <c r="C1290" t="s">
        <v>10</v>
      </c>
      <c r="D1290" t="s">
        <v>43</v>
      </c>
      <c r="E1290">
        <v>415</v>
      </c>
      <c r="F1290" t="s">
        <v>17</v>
      </c>
      <c r="G1290">
        <v>31</v>
      </c>
      <c r="H1290">
        <v>26</v>
      </c>
      <c r="I1290" t="str">
        <f>_xlfn.XLOOKUP($C1290,dim_campaigns!$D$2:$D$3,dim_campaigns!$A$2:$A$3,"",0)</f>
        <v>Sankranti</v>
      </c>
      <c r="J1290" s="6">
        <f t="shared" si="40"/>
        <v>-0.16129032258064516</v>
      </c>
      <c r="K1290">
        <f t="shared" si="41"/>
        <v>20957.5</v>
      </c>
      <c r="L1290" t="str">
        <f>VLOOKUP($B1290,dim_stores!$A$1:$C$51,2,0)</f>
        <v>Bengaluru</v>
      </c>
    </row>
    <row r="1291" spans="1:12" x14ac:dyDescent="0.3">
      <c r="A1291" t="s">
        <v>1286</v>
      </c>
      <c r="B1291" t="s">
        <v>174</v>
      </c>
      <c r="C1291" t="s">
        <v>15</v>
      </c>
      <c r="D1291" t="s">
        <v>32</v>
      </c>
      <c r="E1291">
        <v>65</v>
      </c>
      <c r="F1291" t="s">
        <v>12</v>
      </c>
      <c r="G1291">
        <v>64</v>
      </c>
      <c r="H1291">
        <v>80</v>
      </c>
      <c r="I1291" t="str">
        <f>_xlfn.XLOOKUP($C1291,dim_campaigns!$D$2:$D$3,dim_campaigns!$A$2:$A$3,"",0)</f>
        <v>Diwali</v>
      </c>
      <c r="J1291" s="6">
        <f t="shared" si="40"/>
        <v>0.25</v>
      </c>
      <c r="K1291">
        <f t="shared" si="41"/>
        <v>6760</v>
      </c>
      <c r="L1291" t="str">
        <f>VLOOKUP($B1291,dim_stores!$A$1:$C$51,2,0)</f>
        <v>Trivandrum</v>
      </c>
    </row>
    <row r="1292" spans="1:12" x14ac:dyDescent="0.3">
      <c r="A1292" t="s">
        <v>1287</v>
      </c>
      <c r="B1292" t="s">
        <v>34</v>
      </c>
      <c r="C1292" t="s">
        <v>15</v>
      </c>
      <c r="D1292" t="s">
        <v>48</v>
      </c>
      <c r="E1292">
        <v>62</v>
      </c>
      <c r="F1292" t="s">
        <v>12</v>
      </c>
      <c r="G1292">
        <v>110</v>
      </c>
      <c r="H1292">
        <v>146</v>
      </c>
      <c r="I1292" t="str">
        <f>_xlfn.XLOOKUP($C1292,dim_campaigns!$D$2:$D$3,dim_campaigns!$A$2:$A$3,"",0)</f>
        <v>Diwali</v>
      </c>
      <c r="J1292" s="6">
        <f t="shared" si="40"/>
        <v>0.32727272727272727</v>
      </c>
      <c r="K1292">
        <f t="shared" si="41"/>
        <v>11346</v>
      </c>
      <c r="L1292" t="str">
        <f>VLOOKUP($B1292,dim_stores!$A$1:$C$51,2,0)</f>
        <v>Hyderabad</v>
      </c>
    </row>
    <row r="1293" spans="1:12" x14ac:dyDescent="0.3">
      <c r="A1293" t="s">
        <v>1288</v>
      </c>
      <c r="B1293" t="s">
        <v>137</v>
      </c>
      <c r="C1293" t="s">
        <v>15</v>
      </c>
      <c r="D1293" t="s">
        <v>38</v>
      </c>
      <c r="E1293">
        <v>1190</v>
      </c>
      <c r="F1293" t="s">
        <v>21</v>
      </c>
      <c r="G1293">
        <v>22</v>
      </c>
      <c r="H1293">
        <v>73</v>
      </c>
      <c r="I1293" t="str">
        <f>_xlfn.XLOOKUP($C1293,dim_campaigns!$D$2:$D$3,dim_campaigns!$A$2:$A$3,"",0)</f>
        <v>Diwali</v>
      </c>
      <c r="J1293" s="6">
        <f t="shared" si="40"/>
        <v>2.3181818181818183</v>
      </c>
      <c r="K1293">
        <f t="shared" si="41"/>
        <v>69615</v>
      </c>
      <c r="L1293" t="str">
        <f>VLOOKUP($B1293,dim_stores!$A$1:$C$51,2,0)</f>
        <v>Mangalore</v>
      </c>
    </row>
    <row r="1294" spans="1:12" x14ac:dyDescent="0.3">
      <c r="A1294" t="s">
        <v>1289</v>
      </c>
      <c r="B1294" t="s">
        <v>81</v>
      </c>
      <c r="C1294" t="s">
        <v>15</v>
      </c>
      <c r="D1294" t="s">
        <v>53</v>
      </c>
      <c r="E1294">
        <v>860</v>
      </c>
      <c r="F1294" t="s">
        <v>54</v>
      </c>
      <c r="G1294">
        <v>278</v>
      </c>
      <c r="H1294">
        <v>430</v>
      </c>
      <c r="I1294" t="str">
        <f>_xlfn.XLOOKUP($C1294,dim_campaigns!$D$2:$D$3,dim_campaigns!$A$2:$A$3,"",0)</f>
        <v>Diwali</v>
      </c>
      <c r="J1294" s="6">
        <f t="shared" si="40"/>
        <v>0.5467625899280576</v>
      </c>
      <c r="K1294">
        <f t="shared" si="41"/>
        <v>486846</v>
      </c>
      <c r="L1294" t="str">
        <f>VLOOKUP($B1294,dim_stores!$A$1:$C$51,2,0)</f>
        <v>Madurai</v>
      </c>
    </row>
    <row r="1295" spans="1:12" x14ac:dyDescent="0.3">
      <c r="A1295" t="s">
        <v>1290</v>
      </c>
      <c r="B1295" t="s">
        <v>103</v>
      </c>
      <c r="C1295" t="s">
        <v>15</v>
      </c>
      <c r="D1295" t="s">
        <v>32</v>
      </c>
      <c r="E1295">
        <v>65</v>
      </c>
      <c r="F1295" t="s">
        <v>12</v>
      </c>
      <c r="G1295">
        <v>134</v>
      </c>
      <c r="H1295">
        <v>156</v>
      </c>
      <c r="I1295" t="str">
        <f>_xlfn.XLOOKUP($C1295,dim_campaigns!$D$2:$D$3,dim_campaigns!$A$2:$A$3,"",0)</f>
        <v>Diwali</v>
      </c>
      <c r="J1295" s="6">
        <f t="shared" si="40"/>
        <v>0.16417910447761194</v>
      </c>
      <c r="K1295">
        <f t="shared" si="41"/>
        <v>13780</v>
      </c>
      <c r="L1295" t="str">
        <f>VLOOKUP($B1295,dim_stores!$A$1:$C$51,2,0)</f>
        <v>Hyderabad</v>
      </c>
    </row>
    <row r="1296" spans="1:12" x14ac:dyDescent="0.3">
      <c r="A1296">
        <v>785811</v>
      </c>
      <c r="B1296" t="s">
        <v>110</v>
      </c>
      <c r="C1296" t="s">
        <v>10</v>
      </c>
      <c r="D1296" t="s">
        <v>32</v>
      </c>
      <c r="E1296">
        <v>50</v>
      </c>
      <c r="F1296" t="s">
        <v>17</v>
      </c>
      <c r="G1296">
        <v>25</v>
      </c>
      <c r="H1296">
        <v>20</v>
      </c>
      <c r="I1296" t="str">
        <f>_xlfn.XLOOKUP($C1296,dim_campaigns!$D$2:$D$3,dim_campaigns!$A$2:$A$3,"",0)</f>
        <v>Sankranti</v>
      </c>
      <c r="J1296" s="6">
        <f t="shared" si="40"/>
        <v>-0.2</v>
      </c>
      <c r="K1296">
        <f t="shared" si="41"/>
        <v>2000</v>
      </c>
      <c r="L1296" t="str">
        <f>VLOOKUP($B1296,dim_stores!$A$1:$C$51,2,0)</f>
        <v>Chennai</v>
      </c>
    </row>
    <row r="1297" spans="1:12" x14ac:dyDescent="0.3">
      <c r="A1297" t="s">
        <v>1291</v>
      </c>
      <c r="B1297" t="s">
        <v>95</v>
      </c>
      <c r="C1297" t="s">
        <v>10</v>
      </c>
      <c r="D1297" t="s">
        <v>35</v>
      </c>
      <c r="E1297">
        <v>350</v>
      </c>
      <c r="F1297" t="s">
        <v>21</v>
      </c>
      <c r="G1297">
        <v>114</v>
      </c>
      <c r="H1297">
        <v>441</v>
      </c>
      <c r="I1297" t="str">
        <f>_xlfn.XLOOKUP($C1297,dim_campaigns!$D$2:$D$3,dim_campaigns!$A$2:$A$3,"",0)</f>
        <v>Sankranti</v>
      </c>
      <c r="J1297" s="6">
        <f t="shared" si="40"/>
        <v>2.8684210526315788</v>
      </c>
      <c r="K1297">
        <f t="shared" si="41"/>
        <v>117075</v>
      </c>
      <c r="L1297" t="str">
        <f>VLOOKUP($B1297,dim_stores!$A$1:$C$51,2,0)</f>
        <v>Hyderabad</v>
      </c>
    </row>
    <row r="1298" spans="1:12" x14ac:dyDescent="0.3">
      <c r="A1298" t="s">
        <v>1292</v>
      </c>
      <c r="B1298" t="s">
        <v>193</v>
      </c>
      <c r="C1298" t="s">
        <v>15</v>
      </c>
      <c r="D1298" t="s">
        <v>61</v>
      </c>
      <c r="E1298">
        <v>172</v>
      </c>
      <c r="F1298" t="s">
        <v>54</v>
      </c>
      <c r="G1298">
        <v>358</v>
      </c>
      <c r="H1298">
        <v>529</v>
      </c>
      <c r="I1298" t="str">
        <f>_xlfn.XLOOKUP($C1298,dim_campaigns!$D$2:$D$3,dim_campaigns!$A$2:$A$3,"",0)</f>
        <v>Diwali</v>
      </c>
      <c r="J1298" s="6">
        <f t="shared" si="40"/>
        <v>0.47765363128491622</v>
      </c>
      <c r="K1298">
        <f t="shared" si="41"/>
        <v>122537.95999999999</v>
      </c>
      <c r="L1298" t="str">
        <f>VLOOKUP($B1298,dim_stores!$A$1:$C$51,2,0)</f>
        <v>Bengaluru</v>
      </c>
    </row>
    <row r="1299" spans="1:12" x14ac:dyDescent="0.3">
      <c r="A1299" t="s">
        <v>1293</v>
      </c>
      <c r="B1299" t="s">
        <v>14</v>
      </c>
      <c r="C1299" t="s">
        <v>15</v>
      </c>
      <c r="D1299" t="s">
        <v>48</v>
      </c>
      <c r="E1299">
        <v>62</v>
      </c>
      <c r="F1299" t="s">
        <v>12</v>
      </c>
      <c r="G1299">
        <v>120</v>
      </c>
      <c r="H1299">
        <v>159</v>
      </c>
      <c r="I1299" t="str">
        <f>_xlfn.XLOOKUP($C1299,dim_campaigns!$D$2:$D$3,dim_campaigns!$A$2:$A$3,"",0)</f>
        <v>Diwali</v>
      </c>
      <c r="J1299" s="6">
        <f t="shared" si="40"/>
        <v>0.32500000000000001</v>
      </c>
      <c r="K1299">
        <f t="shared" si="41"/>
        <v>12369</v>
      </c>
      <c r="L1299" t="str">
        <f>VLOOKUP($B1299,dim_stores!$A$1:$C$51,2,0)</f>
        <v>Bengaluru</v>
      </c>
    </row>
    <row r="1300" spans="1:12" x14ac:dyDescent="0.3">
      <c r="A1300" t="s">
        <v>1294</v>
      </c>
      <c r="B1300" t="s">
        <v>75</v>
      </c>
      <c r="C1300" t="s">
        <v>10</v>
      </c>
      <c r="D1300" t="s">
        <v>68</v>
      </c>
      <c r="E1300">
        <v>1020</v>
      </c>
      <c r="F1300" t="s">
        <v>21</v>
      </c>
      <c r="G1300">
        <v>87</v>
      </c>
      <c r="H1300">
        <v>347</v>
      </c>
      <c r="I1300" t="str">
        <f>_xlfn.XLOOKUP($C1300,dim_campaigns!$D$2:$D$3,dim_campaigns!$A$2:$A$3,"",0)</f>
        <v>Sankranti</v>
      </c>
      <c r="J1300" s="6">
        <f t="shared" si="40"/>
        <v>2.9885057471264367</v>
      </c>
      <c r="K1300">
        <f t="shared" si="41"/>
        <v>265710</v>
      </c>
      <c r="L1300" t="str">
        <f>VLOOKUP($B1300,dim_stores!$A$1:$C$51,2,0)</f>
        <v>Madurai</v>
      </c>
    </row>
    <row r="1301" spans="1:12" x14ac:dyDescent="0.3">
      <c r="A1301" t="s">
        <v>1295</v>
      </c>
      <c r="B1301" t="s">
        <v>139</v>
      </c>
      <c r="C1301" t="s">
        <v>10</v>
      </c>
      <c r="D1301" t="s">
        <v>53</v>
      </c>
      <c r="E1301">
        <v>860</v>
      </c>
      <c r="F1301" t="s">
        <v>54</v>
      </c>
      <c r="G1301">
        <v>345</v>
      </c>
      <c r="H1301">
        <v>438</v>
      </c>
      <c r="I1301" t="str">
        <f>_xlfn.XLOOKUP($C1301,dim_campaigns!$D$2:$D$3,dim_campaigns!$A$2:$A$3,"",0)</f>
        <v>Sankranti</v>
      </c>
      <c r="J1301" s="6">
        <f t="shared" si="40"/>
        <v>0.26956521739130435</v>
      </c>
      <c r="K1301">
        <f t="shared" si="41"/>
        <v>549075.6</v>
      </c>
      <c r="L1301" t="str">
        <f>VLOOKUP($B1301,dim_stores!$A$1:$C$51,2,0)</f>
        <v>Visakhapatnam</v>
      </c>
    </row>
    <row r="1302" spans="1:12" x14ac:dyDescent="0.3">
      <c r="A1302" t="s">
        <v>1296</v>
      </c>
      <c r="B1302" t="s">
        <v>84</v>
      </c>
      <c r="C1302" t="s">
        <v>15</v>
      </c>
      <c r="D1302" t="s">
        <v>35</v>
      </c>
      <c r="E1302">
        <v>350</v>
      </c>
      <c r="F1302" t="s">
        <v>21</v>
      </c>
      <c r="G1302">
        <v>70</v>
      </c>
      <c r="H1302">
        <v>270</v>
      </c>
      <c r="I1302" t="str">
        <f>_xlfn.XLOOKUP($C1302,dim_campaigns!$D$2:$D$3,dim_campaigns!$A$2:$A$3,"",0)</f>
        <v>Diwali</v>
      </c>
      <c r="J1302" s="6">
        <f t="shared" si="40"/>
        <v>2.8571428571428572</v>
      </c>
      <c r="K1302">
        <f t="shared" si="41"/>
        <v>71750</v>
      </c>
      <c r="L1302" t="str">
        <f>VLOOKUP($B1302,dim_stores!$A$1:$C$51,2,0)</f>
        <v>Mysuru</v>
      </c>
    </row>
    <row r="1303" spans="1:12" x14ac:dyDescent="0.3">
      <c r="A1303" t="s">
        <v>1297</v>
      </c>
      <c r="B1303" t="s">
        <v>113</v>
      </c>
      <c r="C1303" t="s">
        <v>15</v>
      </c>
      <c r="D1303" t="s">
        <v>11</v>
      </c>
      <c r="E1303">
        <v>190</v>
      </c>
      <c r="F1303" t="s">
        <v>12</v>
      </c>
      <c r="G1303">
        <v>77</v>
      </c>
      <c r="H1303">
        <v>83</v>
      </c>
      <c r="I1303" t="str">
        <f>_xlfn.XLOOKUP($C1303,dim_campaigns!$D$2:$D$3,dim_campaigns!$A$2:$A$3,"",0)</f>
        <v>Diwali</v>
      </c>
      <c r="J1303" s="6">
        <f t="shared" si="40"/>
        <v>7.792207792207792E-2</v>
      </c>
      <c r="K1303">
        <f t="shared" si="41"/>
        <v>22515</v>
      </c>
      <c r="L1303" t="str">
        <f>VLOOKUP($B1303,dim_stores!$A$1:$C$51,2,0)</f>
        <v>Chennai</v>
      </c>
    </row>
    <row r="1304" spans="1:12" x14ac:dyDescent="0.3">
      <c r="A1304" t="s">
        <v>1298</v>
      </c>
      <c r="B1304" t="s">
        <v>70</v>
      </c>
      <c r="C1304" t="s">
        <v>15</v>
      </c>
      <c r="D1304" t="s">
        <v>11</v>
      </c>
      <c r="E1304">
        <v>190</v>
      </c>
      <c r="F1304" t="s">
        <v>12</v>
      </c>
      <c r="G1304">
        <v>91</v>
      </c>
      <c r="H1304">
        <v>123</v>
      </c>
      <c r="I1304" t="str">
        <f>_xlfn.XLOOKUP($C1304,dim_campaigns!$D$2:$D$3,dim_campaigns!$A$2:$A$3,"",0)</f>
        <v>Diwali</v>
      </c>
      <c r="J1304" s="6">
        <f t="shared" si="40"/>
        <v>0.35164835164835168</v>
      </c>
      <c r="K1304">
        <f t="shared" si="41"/>
        <v>28975</v>
      </c>
      <c r="L1304" t="str">
        <f>VLOOKUP($B1304,dim_stores!$A$1:$C$51,2,0)</f>
        <v>Chennai</v>
      </c>
    </row>
    <row r="1305" spans="1:12" x14ac:dyDescent="0.3">
      <c r="A1305" t="s">
        <v>1299</v>
      </c>
      <c r="B1305" t="s">
        <v>63</v>
      </c>
      <c r="C1305" t="s">
        <v>15</v>
      </c>
      <c r="D1305" t="s">
        <v>20</v>
      </c>
      <c r="E1305">
        <v>300</v>
      </c>
      <c r="F1305" t="s">
        <v>21</v>
      </c>
      <c r="G1305">
        <v>49</v>
      </c>
      <c r="H1305">
        <v>170</v>
      </c>
      <c r="I1305" t="str">
        <f>_xlfn.XLOOKUP($C1305,dim_campaigns!$D$2:$D$3,dim_campaigns!$A$2:$A$3,"",0)</f>
        <v>Diwali</v>
      </c>
      <c r="J1305" s="6">
        <f t="shared" si="40"/>
        <v>2.4693877551020407</v>
      </c>
      <c r="K1305">
        <f t="shared" si="41"/>
        <v>40200</v>
      </c>
      <c r="L1305" t="str">
        <f>VLOOKUP($B1305,dim_stores!$A$1:$C$51,2,0)</f>
        <v>Visakhapatnam</v>
      </c>
    </row>
    <row r="1306" spans="1:12" x14ac:dyDescent="0.3">
      <c r="A1306" t="s">
        <v>1300</v>
      </c>
      <c r="B1306" t="s">
        <v>190</v>
      </c>
      <c r="C1306" t="s">
        <v>15</v>
      </c>
      <c r="D1306" t="s">
        <v>61</v>
      </c>
      <c r="E1306">
        <v>172</v>
      </c>
      <c r="F1306" t="s">
        <v>54</v>
      </c>
      <c r="G1306">
        <v>161</v>
      </c>
      <c r="H1306">
        <v>265</v>
      </c>
      <c r="I1306" t="str">
        <f>_xlfn.XLOOKUP($C1306,dim_campaigns!$D$2:$D$3,dim_campaigns!$A$2:$A$3,"",0)</f>
        <v>Diwali</v>
      </c>
      <c r="J1306" s="6">
        <f t="shared" si="40"/>
        <v>0.64596273291925466</v>
      </c>
      <c r="K1306">
        <f t="shared" si="41"/>
        <v>58230.6</v>
      </c>
      <c r="L1306" t="str">
        <f>VLOOKUP($B1306,dim_stores!$A$1:$C$51,2,0)</f>
        <v>Visakhapatnam</v>
      </c>
    </row>
    <row r="1307" spans="1:12" x14ac:dyDescent="0.3">
      <c r="A1307" t="s">
        <v>1301</v>
      </c>
      <c r="B1307" t="s">
        <v>34</v>
      </c>
      <c r="C1307" t="s">
        <v>10</v>
      </c>
      <c r="D1307" t="s">
        <v>85</v>
      </c>
      <c r="E1307">
        <v>90</v>
      </c>
      <c r="F1307" t="s">
        <v>17</v>
      </c>
      <c r="G1307">
        <v>54</v>
      </c>
      <c r="H1307">
        <v>49</v>
      </c>
      <c r="I1307" t="str">
        <f>_xlfn.XLOOKUP($C1307,dim_campaigns!$D$2:$D$3,dim_campaigns!$A$2:$A$3,"",0)</f>
        <v>Sankranti</v>
      </c>
      <c r="J1307" s="6">
        <f t="shared" si="40"/>
        <v>-9.2592592592592587E-2</v>
      </c>
      <c r="K1307">
        <f t="shared" si="41"/>
        <v>8167.5</v>
      </c>
      <c r="L1307" t="str">
        <f>VLOOKUP($B1307,dim_stores!$A$1:$C$51,2,0)</f>
        <v>Hyderabad</v>
      </c>
    </row>
    <row r="1308" spans="1:12" x14ac:dyDescent="0.3">
      <c r="A1308" t="s">
        <v>1302</v>
      </c>
      <c r="B1308" t="s">
        <v>31</v>
      </c>
      <c r="C1308" t="s">
        <v>15</v>
      </c>
      <c r="D1308" t="s">
        <v>20</v>
      </c>
      <c r="E1308">
        <v>300</v>
      </c>
      <c r="F1308" t="s">
        <v>21</v>
      </c>
      <c r="G1308">
        <v>45</v>
      </c>
      <c r="H1308">
        <v>150</v>
      </c>
      <c r="I1308" t="str">
        <f>_xlfn.XLOOKUP($C1308,dim_campaigns!$D$2:$D$3,dim_campaigns!$A$2:$A$3,"",0)</f>
        <v>Diwali</v>
      </c>
      <c r="J1308" s="6">
        <f t="shared" si="40"/>
        <v>2.3333333333333335</v>
      </c>
      <c r="K1308">
        <f t="shared" si="41"/>
        <v>36000</v>
      </c>
      <c r="L1308" t="str">
        <f>VLOOKUP($B1308,dim_stores!$A$1:$C$51,2,0)</f>
        <v>Visakhapatnam</v>
      </c>
    </row>
    <row r="1309" spans="1:12" x14ac:dyDescent="0.3">
      <c r="A1309" t="s">
        <v>1303</v>
      </c>
      <c r="B1309" t="s">
        <v>60</v>
      </c>
      <c r="C1309" t="s">
        <v>15</v>
      </c>
      <c r="D1309" t="s">
        <v>38</v>
      </c>
      <c r="E1309">
        <v>1190</v>
      </c>
      <c r="F1309" t="s">
        <v>21</v>
      </c>
      <c r="G1309">
        <v>31</v>
      </c>
      <c r="H1309">
        <v>102</v>
      </c>
      <c r="I1309" t="str">
        <f>_xlfn.XLOOKUP($C1309,dim_campaigns!$D$2:$D$3,dim_campaigns!$A$2:$A$3,"",0)</f>
        <v>Diwali</v>
      </c>
      <c r="J1309" s="6">
        <f t="shared" si="40"/>
        <v>2.2903225806451615</v>
      </c>
      <c r="K1309">
        <f t="shared" si="41"/>
        <v>97580</v>
      </c>
      <c r="L1309" t="str">
        <f>VLOOKUP($B1309,dim_stores!$A$1:$C$51,2,0)</f>
        <v>Trivandrum</v>
      </c>
    </row>
    <row r="1310" spans="1:12" x14ac:dyDescent="0.3">
      <c r="A1310" t="s">
        <v>1304</v>
      </c>
      <c r="B1310" t="s">
        <v>117</v>
      </c>
      <c r="C1310" t="s">
        <v>10</v>
      </c>
      <c r="D1310" t="s">
        <v>61</v>
      </c>
      <c r="E1310">
        <v>172</v>
      </c>
      <c r="F1310" t="s">
        <v>54</v>
      </c>
      <c r="G1310">
        <v>126</v>
      </c>
      <c r="H1310">
        <v>175</v>
      </c>
      <c r="I1310" t="str">
        <f>_xlfn.XLOOKUP($C1310,dim_campaigns!$D$2:$D$3,dim_campaigns!$A$2:$A$3,"",0)</f>
        <v>Sankranti</v>
      </c>
      <c r="J1310" s="6">
        <f t="shared" si="40"/>
        <v>0.3888888888888889</v>
      </c>
      <c r="K1310">
        <f t="shared" si="41"/>
        <v>41839</v>
      </c>
      <c r="L1310" t="str">
        <f>VLOOKUP($B1310,dim_stores!$A$1:$C$51,2,0)</f>
        <v>Mangalore</v>
      </c>
    </row>
    <row r="1311" spans="1:12" x14ac:dyDescent="0.3">
      <c r="A1311" t="s">
        <v>1305</v>
      </c>
      <c r="B1311" t="s">
        <v>63</v>
      </c>
      <c r="C1311" t="s">
        <v>10</v>
      </c>
      <c r="D1311" t="s">
        <v>32</v>
      </c>
      <c r="E1311">
        <v>50</v>
      </c>
      <c r="F1311" t="s">
        <v>17</v>
      </c>
      <c r="G1311">
        <v>25</v>
      </c>
      <c r="H1311">
        <v>18</v>
      </c>
      <c r="I1311" t="str">
        <f>_xlfn.XLOOKUP($C1311,dim_campaigns!$D$2:$D$3,dim_campaigns!$A$2:$A$3,"",0)</f>
        <v>Sankranti</v>
      </c>
      <c r="J1311" s="6">
        <f t="shared" si="40"/>
        <v>-0.28000000000000003</v>
      </c>
      <c r="K1311">
        <f t="shared" si="41"/>
        <v>1925</v>
      </c>
      <c r="L1311" t="str">
        <f>VLOOKUP($B1311,dim_stores!$A$1:$C$51,2,0)</f>
        <v>Visakhapatnam</v>
      </c>
    </row>
    <row r="1312" spans="1:12" x14ac:dyDescent="0.3">
      <c r="A1312" t="s">
        <v>1306</v>
      </c>
      <c r="B1312" t="s">
        <v>27</v>
      </c>
      <c r="C1312" t="s">
        <v>10</v>
      </c>
      <c r="D1312" t="s">
        <v>32</v>
      </c>
      <c r="E1312">
        <v>50</v>
      </c>
      <c r="F1312" t="s">
        <v>17</v>
      </c>
      <c r="G1312">
        <v>37</v>
      </c>
      <c r="H1312">
        <v>30</v>
      </c>
      <c r="I1312" t="str">
        <f>_xlfn.XLOOKUP($C1312,dim_campaigns!$D$2:$D$3,dim_campaigns!$A$2:$A$3,"",0)</f>
        <v>Sankranti</v>
      </c>
      <c r="J1312" s="6">
        <f t="shared" si="40"/>
        <v>-0.1891891891891892</v>
      </c>
      <c r="K1312">
        <f t="shared" si="41"/>
        <v>2975</v>
      </c>
      <c r="L1312" t="str">
        <f>VLOOKUP($B1312,dim_stores!$A$1:$C$51,2,0)</f>
        <v>Bengaluru</v>
      </c>
    </row>
    <row r="1313" spans="1:12" x14ac:dyDescent="0.3">
      <c r="A1313" t="s">
        <v>1307</v>
      </c>
      <c r="B1313" t="s">
        <v>161</v>
      </c>
      <c r="C1313" t="s">
        <v>15</v>
      </c>
      <c r="D1313" t="s">
        <v>43</v>
      </c>
      <c r="E1313">
        <v>415</v>
      </c>
      <c r="F1313" t="s">
        <v>17</v>
      </c>
      <c r="G1313">
        <v>82</v>
      </c>
      <c r="H1313">
        <v>79</v>
      </c>
      <c r="I1313" t="str">
        <f>_xlfn.XLOOKUP($C1313,dim_campaigns!$D$2:$D$3,dim_campaigns!$A$2:$A$3,"",0)</f>
        <v>Diwali</v>
      </c>
      <c r="J1313" s="6">
        <f t="shared" si="40"/>
        <v>-3.6585365853658534E-2</v>
      </c>
      <c r="K1313">
        <f t="shared" si="41"/>
        <v>58618.75</v>
      </c>
      <c r="L1313" t="str">
        <f>VLOOKUP($B1313,dim_stores!$A$1:$C$51,2,0)</f>
        <v>Chennai</v>
      </c>
    </row>
    <row r="1314" spans="1:12" x14ac:dyDescent="0.3">
      <c r="A1314" t="s">
        <v>1308</v>
      </c>
      <c r="B1314" t="s">
        <v>19</v>
      </c>
      <c r="C1314" t="s">
        <v>15</v>
      </c>
      <c r="D1314" t="s">
        <v>61</v>
      </c>
      <c r="E1314">
        <v>172</v>
      </c>
      <c r="F1314" t="s">
        <v>54</v>
      </c>
      <c r="G1314">
        <v>161</v>
      </c>
      <c r="H1314">
        <v>231</v>
      </c>
      <c r="I1314" t="str">
        <f>_xlfn.XLOOKUP($C1314,dim_campaigns!$D$2:$D$3,dim_campaigns!$A$2:$A$3,"",0)</f>
        <v>Diwali</v>
      </c>
      <c r="J1314" s="6">
        <f t="shared" si="40"/>
        <v>0.43478260869565216</v>
      </c>
      <c r="K1314">
        <f t="shared" si="41"/>
        <v>54312.44</v>
      </c>
      <c r="L1314" t="str">
        <f>VLOOKUP($B1314,dim_stores!$A$1:$C$51,2,0)</f>
        <v>Vijayawada</v>
      </c>
    </row>
    <row r="1315" spans="1:12" x14ac:dyDescent="0.3">
      <c r="A1315" t="s">
        <v>1309</v>
      </c>
      <c r="B1315" t="s">
        <v>113</v>
      </c>
      <c r="C1315" t="s">
        <v>15</v>
      </c>
      <c r="D1315" t="s">
        <v>16</v>
      </c>
      <c r="E1315">
        <v>156</v>
      </c>
      <c r="F1315" t="s">
        <v>17</v>
      </c>
      <c r="G1315">
        <v>357</v>
      </c>
      <c r="H1315">
        <v>317</v>
      </c>
      <c r="I1315" t="str">
        <f>_xlfn.XLOOKUP($C1315,dim_campaigns!$D$2:$D$3,dim_campaigns!$A$2:$A$3,"",0)</f>
        <v>Diwali</v>
      </c>
      <c r="J1315" s="6">
        <f t="shared" si="40"/>
        <v>-0.11204481792717087</v>
      </c>
      <c r="K1315">
        <f t="shared" si="41"/>
        <v>92781</v>
      </c>
      <c r="L1315" t="str">
        <f>VLOOKUP($B1315,dim_stores!$A$1:$C$51,2,0)</f>
        <v>Chennai</v>
      </c>
    </row>
    <row r="1316" spans="1:12" x14ac:dyDescent="0.3">
      <c r="A1316" t="s">
        <v>1310</v>
      </c>
      <c r="B1316" t="s">
        <v>95</v>
      </c>
      <c r="C1316" t="s">
        <v>15</v>
      </c>
      <c r="D1316" t="s">
        <v>48</v>
      </c>
      <c r="E1316">
        <v>62</v>
      </c>
      <c r="F1316" t="s">
        <v>12</v>
      </c>
      <c r="G1316">
        <v>129</v>
      </c>
      <c r="H1316">
        <v>165</v>
      </c>
      <c r="I1316" t="str">
        <f>_xlfn.XLOOKUP($C1316,dim_campaigns!$D$2:$D$3,dim_campaigns!$A$2:$A$3,"",0)</f>
        <v>Diwali</v>
      </c>
      <c r="J1316" s="6">
        <f t="shared" si="40"/>
        <v>0.27906976744186046</v>
      </c>
      <c r="K1316">
        <f t="shared" si="41"/>
        <v>13113</v>
      </c>
      <c r="L1316" t="str">
        <f>VLOOKUP($B1316,dim_stores!$A$1:$C$51,2,0)</f>
        <v>Hyderabad</v>
      </c>
    </row>
    <row r="1317" spans="1:12" x14ac:dyDescent="0.3">
      <c r="A1317" t="s">
        <v>1311</v>
      </c>
      <c r="B1317" t="s">
        <v>75</v>
      </c>
      <c r="C1317" t="s">
        <v>10</v>
      </c>
      <c r="D1317" t="s">
        <v>35</v>
      </c>
      <c r="E1317">
        <v>350</v>
      </c>
      <c r="F1317" t="s">
        <v>21</v>
      </c>
      <c r="G1317">
        <v>118</v>
      </c>
      <c r="H1317">
        <v>464</v>
      </c>
      <c r="I1317" t="str">
        <f>_xlfn.XLOOKUP($C1317,dim_campaigns!$D$2:$D$3,dim_campaigns!$A$2:$A$3,"",0)</f>
        <v>Sankranti</v>
      </c>
      <c r="J1317" s="6">
        <f t="shared" si="40"/>
        <v>2.9322033898305087</v>
      </c>
      <c r="K1317">
        <f t="shared" si="41"/>
        <v>122500</v>
      </c>
      <c r="L1317" t="str">
        <f>VLOOKUP($B1317,dim_stores!$A$1:$C$51,2,0)</f>
        <v>Madurai</v>
      </c>
    </row>
    <row r="1318" spans="1:12" x14ac:dyDescent="0.3">
      <c r="A1318" t="s">
        <v>1312</v>
      </c>
      <c r="B1318" t="s">
        <v>75</v>
      </c>
      <c r="C1318" t="s">
        <v>10</v>
      </c>
      <c r="D1318" t="s">
        <v>43</v>
      </c>
      <c r="E1318">
        <v>415</v>
      </c>
      <c r="F1318" t="s">
        <v>17</v>
      </c>
      <c r="G1318">
        <v>25</v>
      </c>
      <c r="H1318">
        <v>20</v>
      </c>
      <c r="I1318" t="str">
        <f>_xlfn.XLOOKUP($C1318,dim_campaigns!$D$2:$D$3,dim_campaigns!$A$2:$A$3,"",0)</f>
        <v>Sankranti</v>
      </c>
      <c r="J1318" s="6">
        <f t="shared" si="40"/>
        <v>-0.2</v>
      </c>
      <c r="K1318">
        <f t="shared" si="41"/>
        <v>16600</v>
      </c>
      <c r="L1318" t="str">
        <f>VLOOKUP($B1318,dim_stores!$A$1:$C$51,2,0)</f>
        <v>Madurai</v>
      </c>
    </row>
    <row r="1319" spans="1:12" x14ac:dyDescent="0.3">
      <c r="A1319" t="s">
        <v>1313</v>
      </c>
      <c r="B1319" t="s">
        <v>91</v>
      </c>
      <c r="C1319" t="s">
        <v>15</v>
      </c>
      <c r="D1319" t="s">
        <v>16</v>
      </c>
      <c r="E1319">
        <v>156</v>
      </c>
      <c r="F1319" t="s">
        <v>17</v>
      </c>
      <c r="G1319">
        <v>285</v>
      </c>
      <c r="H1319">
        <v>222</v>
      </c>
      <c r="I1319" t="str">
        <f>_xlfn.XLOOKUP($C1319,dim_campaigns!$D$2:$D$3,dim_campaigns!$A$2:$A$3,"",0)</f>
        <v>Diwali</v>
      </c>
      <c r="J1319" s="6">
        <f t="shared" si="40"/>
        <v>-0.22105263157894736</v>
      </c>
      <c r="K1319">
        <f t="shared" si="41"/>
        <v>70434</v>
      </c>
      <c r="L1319" t="str">
        <f>VLOOKUP($B1319,dim_stores!$A$1:$C$51,2,0)</f>
        <v>Hyderabad</v>
      </c>
    </row>
    <row r="1320" spans="1:12" x14ac:dyDescent="0.3">
      <c r="A1320" t="s">
        <v>1314</v>
      </c>
      <c r="B1320" t="s">
        <v>58</v>
      </c>
      <c r="C1320" t="s">
        <v>10</v>
      </c>
      <c r="D1320" t="s">
        <v>28</v>
      </c>
      <c r="E1320">
        <v>55</v>
      </c>
      <c r="F1320" t="s">
        <v>17</v>
      </c>
      <c r="G1320">
        <v>31</v>
      </c>
      <c r="H1320">
        <v>26</v>
      </c>
      <c r="I1320" t="str">
        <f>_xlfn.XLOOKUP($C1320,dim_campaigns!$D$2:$D$3,dim_campaigns!$A$2:$A$3,"",0)</f>
        <v>Sankranti</v>
      </c>
      <c r="J1320" s="6">
        <f t="shared" si="40"/>
        <v>-0.16129032258064516</v>
      </c>
      <c r="K1320">
        <f t="shared" si="41"/>
        <v>2777.5</v>
      </c>
      <c r="L1320" t="str">
        <f>VLOOKUP($B1320,dim_stores!$A$1:$C$51,2,0)</f>
        <v>Chennai</v>
      </c>
    </row>
    <row r="1321" spans="1:12" x14ac:dyDescent="0.3">
      <c r="A1321" t="s">
        <v>1315</v>
      </c>
      <c r="B1321" t="s">
        <v>63</v>
      </c>
      <c r="C1321" t="s">
        <v>10</v>
      </c>
      <c r="D1321" t="s">
        <v>61</v>
      </c>
      <c r="E1321">
        <v>172</v>
      </c>
      <c r="F1321" t="s">
        <v>54</v>
      </c>
      <c r="G1321">
        <v>213</v>
      </c>
      <c r="H1321">
        <v>302</v>
      </c>
      <c r="I1321" t="str">
        <f>_xlfn.XLOOKUP($C1321,dim_campaigns!$D$2:$D$3,dim_campaigns!$A$2:$A$3,"",0)</f>
        <v>Sankranti</v>
      </c>
      <c r="J1321" s="6">
        <f t="shared" si="40"/>
        <v>0.41784037558685444</v>
      </c>
      <c r="K1321">
        <f t="shared" si="41"/>
        <v>71438.48</v>
      </c>
      <c r="L1321" t="str">
        <f>VLOOKUP($B1321,dim_stores!$A$1:$C$51,2,0)</f>
        <v>Visakhapatnam</v>
      </c>
    </row>
    <row r="1322" spans="1:12" x14ac:dyDescent="0.3">
      <c r="A1322" t="s">
        <v>1316</v>
      </c>
      <c r="B1322" t="s">
        <v>207</v>
      </c>
      <c r="C1322" t="s">
        <v>10</v>
      </c>
      <c r="D1322" t="s">
        <v>28</v>
      </c>
      <c r="E1322">
        <v>55</v>
      </c>
      <c r="F1322" t="s">
        <v>17</v>
      </c>
      <c r="G1322">
        <v>18</v>
      </c>
      <c r="H1322">
        <v>14</v>
      </c>
      <c r="I1322" t="str">
        <f>_xlfn.XLOOKUP($C1322,dim_campaigns!$D$2:$D$3,dim_campaigns!$A$2:$A$3,"",0)</f>
        <v>Sankranti</v>
      </c>
      <c r="J1322" s="6">
        <f t="shared" si="40"/>
        <v>-0.22222222222222221</v>
      </c>
      <c r="K1322">
        <f t="shared" si="41"/>
        <v>1567.5</v>
      </c>
      <c r="L1322" t="str">
        <f>VLOOKUP($B1322,dim_stores!$A$1:$C$51,2,0)</f>
        <v>Hyderabad</v>
      </c>
    </row>
    <row r="1323" spans="1:12" x14ac:dyDescent="0.3">
      <c r="A1323" t="s">
        <v>1317</v>
      </c>
      <c r="B1323" t="s">
        <v>60</v>
      </c>
      <c r="C1323" t="s">
        <v>10</v>
      </c>
      <c r="D1323" t="s">
        <v>43</v>
      </c>
      <c r="E1323">
        <v>415</v>
      </c>
      <c r="F1323" t="s">
        <v>17</v>
      </c>
      <c r="G1323">
        <v>13</v>
      </c>
      <c r="H1323">
        <v>11</v>
      </c>
      <c r="I1323" t="str">
        <f>_xlfn.XLOOKUP($C1323,dim_campaigns!$D$2:$D$3,dim_campaigns!$A$2:$A$3,"",0)</f>
        <v>Sankranti</v>
      </c>
      <c r="J1323" s="6">
        <f t="shared" si="40"/>
        <v>-0.15384615384615385</v>
      </c>
      <c r="K1323">
        <f t="shared" si="41"/>
        <v>8818.75</v>
      </c>
      <c r="L1323" t="str">
        <f>VLOOKUP($B1323,dim_stores!$A$1:$C$51,2,0)</f>
        <v>Trivandrum</v>
      </c>
    </row>
    <row r="1324" spans="1:12" x14ac:dyDescent="0.3">
      <c r="A1324" t="s">
        <v>1318</v>
      </c>
      <c r="B1324" t="s">
        <v>126</v>
      </c>
      <c r="C1324" t="s">
        <v>10</v>
      </c>
      <c r="D1324" t="s">
        <v>11</v>
      </c>
      <c r="E1324">
        <v>190</v>
      </c>
      <c r="F1324" t="s">
        <v>12</v>
      </c>
      <c r="G1324">
        <v>27</v>
      </c>
      <c r="H1324">
        <v>39</v>
      </c>
      <c r="I1324" t="str">
        <f>_xlfn.XLOOKUP($C1324,dim_campaigns!$D$2:$D$3,dim_campaigns!$A$2:$A$3,"",0)</f>
        <v>Sankranti</v>
      </c>
      <c r="J1324" s="6">
        <f t="shared" si="40"/>
        <v>0.44444444444444442</v>
      </c>
      <c r="K1324">
        <f t="shared" si="41"/>
        <v>8835</v>
      </c>
      <c r="L1324" t="str">
        <f>VLOOKUP($B1324,dim_stores!$A$1:$C$51,2,0)</f>
        <v>Mangalore</v>
      </c>
    </row>
    <row r="1325" spans="1:12" x14ac:dyDescent="0.3">
      <c r="A1325" t="s">
        <v>1319</v>
      </c>
      <c r="B1325" t="s">
        <v>96</v>
      </c>
      <c r="C1325" t="s">
        <v>15</v>
      </c>
      <c r="D1325" t="s">
        <v>68</v>
      </c>
      <c r="E1325">
        <v>1020</v>
      </c>
      <c r="F1325" t="s">
        <v>21</v>
      </c>
      <c r="G1325">
        <v>54</v>
      </c>
      <c r="H1325">
        <v>206</v>
      </c>
      <c r="I1325" t="str">
        <f>_xlfn.XLOOKUP($C1325,dim_campaigns!$D$2:$D$3,dim_campaigns!$A$2:$A$3,"",0)</f>
        <v>Diwali</v>
      </c>
      <c r="J1325" s="6">
        <f t="shared" si="40"/>
        <v>2.8148148148148149</v>
      </c>
      <c r="K1325">
        <f t="shared" si="41"/>
        <v>160140</v>
      </c>
      <c r="L1325" t="str">
        <f>VLOOKUP($B1325,dim_stores!$A$1:$C$51,2,0)</f>
        <v>Mysuru</v>
      </c>
    </row>
    <row r="1326" spans="1:12" x14ac:dyDescent="0.3">
      <c r="A1326">
        <v>811007</v>
      </c>
      <c r="B1326" t="s">
        <v>115</v>
      </c>
      <c r="C1326" t="s">
        <v>10</v>
      </c>
      <c r="D1326" t="s">
        <v>28</v>
      </c>
      <c r="E1326">
        <v>55</v>
      </c>
      <c r="F1326" t="s">
        <v>17</v>
      </c>
      <c r="G1326">
        <v>27</v>
      </c>
      <c r="H1326">
        <v>25</v>
      </c>
      <c r="I1326" t="str">
        <f>_xlfn.XLOOKUP($C1326,dim_campaigns!$D$2:$D$3,dim_campaigns!$A$2:$A$3,"",0)</f>
        <v>Sankranti</v>
      </c>
      <c r="J1326" s="6">
        <f t="shared" si="40"/>
        <v>-7.407407407407407E-2</v>
      </c>
      <c r="K1326">
        <f t="shared" si="41"/>
        <v>2516.25</v>
      </c>
      <c r="L1326" t="str">
        <f>VLOOKUP($B1326,dim_stores!$A$1:$C$51,2,0)</f>
        <v>Bengaluru</v>
      </c>
    </row>
    <row r="1327" spans="1:12" x14ac:dyDescent="0.3">
      <c r="A1327" t="s">
        <v>1320</v>
      </c>
      <c r="B1327" t="s">
        <v>9</v>
      </c>
      <c r="C1327" t="s">
        <v>15</v>
      </c>
      <c r="D1327" t="s">
        <v>51</v>
      </c>
      <c r="E1327">
        <v>290</v>
      </c>
      <c r="F1327" t="s">
        <v>17</v>
      </c>
      <c r="G1327">
        <v>252</v>
      </c>
      <c r="H1327">
        <v>221</v>
      </c>
      <c r="I1327" t="str">
        <f>_xlfn.XLOOKUP($C1327,dim_campaigns!$D$2:$D$3,dim_campaigns!$A$2:$A$3,"",0)</f>
        <v>Diwali</v>
      </c>
      <c r="J1327" s="6">
        <f t="shared" si="40"/>
        <v>-0.12301587301587301</v>
      </c>
      <c r="K1327">
        <f t="shared" si="41"/>
        <v>121147.5</v>
      </c>
      <c r="L1327" t="str">
        <f>VLOOKUP($B1327,dim_stores!$A$1:$C$51,2,0)</f>
        <v>Coimbatore</v>
      </c>
    </row>
    <row r="1328" spans="1:12" x14ac:dyDescent="0.3">
      <c r="A1328" s="1">
        <v>2.36E+34</v>
      </c>
      <c r="B1328" t="s">
        <v>142</v>
      </c>
      <c r="C1328" t="s">
        <v>15</v>
      </c>
      <c r="D1328" t="s">
        <v>11</v>
      </c>
      <c r="E1328">
        <v>190</v>
      </c>
      <c r="F1328" t="s">
        <v>12</v>
      </c>
      <c r="G1328">
        <v>52</v>
      </c>
      <c r="H1328">
        <v>65</v>
      </c>
      <c r="I1328" t="str">
        <f>_xlfn.XLOOKUP($C1328,dim_campaigns!$D$2:$D$3,dim_campaigns!$A$2:$A$3,"",0)</f>
        <v>Diwali</v>
      </c>
      <c r="J1328" s="6">
        <f t="shared" si="40"/>
        <v>0.25</v>
      </c>
      <c r="K1328">
        <f t="shared" si="41"/>
        <v>16055</v>
      </c>
      <c r="L1328" t="str">
        <f>VLOOKUP($B1328,dim_stores!$A$1:$C$51,2,0)</f>
        <v>Madurai</v>
      </c>
    </row>
    <row r="1329" spans="1:12" x14ac:dyDescent="0.3">
      <c r="A1329" t="s">
        <v>1321</v>
      </c>
      <c r="B1329" t="s">
        <v>40</v>
      </c>
      <c r="C1329" t="s">
        <v>10</v>
      </c>
      <c r="D1329" t="s">
        <v>51</v>
      </c>
      <c r="E1329">
        <v>370</v>
      </c>
      <c r="F1329" t="s">
        <v>21</v>
      </c>
      <c r="G1329">
        <v>361</v>
      </c>
      <c r="H1329">
        <v>1397</v>
      </c>
      <c r="I1329" t="str">
        <f>_xlfn.XLOOKUP($C1329,dim_campaigns!$D$2:$D$3,dim_campaigns!$A$2:$A$3,"",0)</f>
        <v>Sankranti</v>
      </c>
      <c r="J1329" s="6">
        <f t="shared" si="40"/>
        <v>2.8698060941828256</v>
      </c>
      <c r="K1329">
        <f t="shared" si="41"/>
        <v>392015</v>
      </c>
      <c r="L1329" t="str">
        <f>VLOOKUP($B1329,dim_stores!$A$1:$C$51,2,0)</f>
        <v>Madurai</v>
      </c>
    </row>
    <row r="1330" spans="1:12" x14ac:dyDescent="0.3">
      <c r="A1330" t="s">
        <v>1322</v>
      </c>
      <c r="B1330" t="s">
        <v>42</v>
      </c>
      <c r="C1330" t="s">
        <v>15</v>
      </c>
      <c r="D1330" t="s">
        <v>16</v>
      </c>
      <c r="E1330">
        <v>156</v>
      </c>
      <c r="F1330" t="s">
        <v>17</v>
      </c>
      <c r="G1330">
        <v>444</v>
      </c>
      <c r="H1330">
        <v>395</v>
      </c>
      <c r="I1330" t="str">
        <f>_xlfn.XLOOKUP($C1330,dim_campaigns!$D$2:$D$3,dim_campaigns!$A$2:$A$3,"",0)</f>
        <v>Diwali</v>
      </c>
      <c r="J1330" s="6">
        <f t="shared" si="40"/>
        <v>-0.11036036036036036</v>
      </c>
      <c r="K1330">
        <f t="shared" si="41"/>
        <v>115479</v>
      </c>
      <c r="L1330" t="str">
        <f>VLOOKUP($B1330,dim_stores!$A$1:$C$51,2,0)</f>
        <v>Mysuru</v>
      </c>
    </row>
    <row r="1331" spans="1:12" x14ac:dyDescent="0.3">
      <c r="A1331">
        <v>583386</v>
      </c>
      <c r="B1331" t="s">
        <v>115</v>
      </c>
      <c r="C1331" t="s">
        <v>10</v>
      </c>
      <c r="D1331" t="s">
        <v>38</v>
      </c>
      <c r="E1331">
        <v>1190</v>
      </c>
      <c r="F1331" t="s">
        <v>21</v>
      </c>
      <c r="G1331">
        <v>63</v>
      </c>
      <c r="H1331">
        <v>254</v>
      </c>
      <c r="I1331" t="str">
        <f>_xlfn.XLOOKUP($C1331,dim_campaigns!$D$2:$D$3,dim_campaigns!$A$2:$A$3,"",0)</f>
        <v>Sankranti</v>
      </c>
      <c r="J1331" s="6">
        <f t="shared" si="40"/>
        <v>3.0317460317460316</v>
      </c>
      <c r="K1331">
        <f t="shared" si="41"/>
        <v>226100</v>
      </c>
      <c r="L1331" t="str">
        <f>VLOOKUP($B1331,dim_stores!$A$1:$C$51,2,0)</f>
        <v>Bengaluru</v>
      </c>
    </row>
    <row r="1332" spans="1:12" x14ac:dyDescent="0.3">
      <c r="A1332" t="s">
        <v>1323</v>
      </c>
      <c r="B1332" t="s">
        <v>52</v>
      </c>
      <c r="C1332" t="s">
        <v>15</v>
      </c>
      <c r="D1332" t="s">
        <v>43</v>
      </c>
      <c r="E1332">
        <v>415</v>
      </c>
      <c r="F1332" t="s">
        <v>17</v>
      </c>
      <c r="G1332">
        <v>70</v>
      </c>
      <c r="H1332">
        <v>53</v>
      </c>
      <c r="I1332" t="str">
        <f>_xlfn.XLOOKUP($C1332,dim_campaigns!$D$2:$D$3,dim_campaigns!$A$2:$A$3,"",0)</f>
        <v>Diwali</v>
      </c>
      <c r="J1332" s="6">
        <f t="shared" si="40"/>
        <v>-0.24285714285714285</v>
      </c>
      <c r="K1332">
        <f t="shared" si="41"/>
        <v>45546.25</v>
      </c>
      <c r="L1332" t="str">
        <f>VLOOKUP($B1332,dim_stores!$A$1:$C$51,2,0)</f>
        <v>Visakhapatnam</v>
      </c>
    </row>
    <row r="1333" spans="1:12" x14ac:dyDescent="0.3">
      <c r="A1333" t="s">
        <v>1324</v>
      </c>
      <c r="B1333" t="s">
        <v>113</v>
      </c>
      <c r="C1333" t="s">
        <v>15</v>
      </c>
      <c r="D1333" t="s">
        <v>35</v>
      </c>
      <c r="E1333">
        <v>350</v>
      </c>
      <c r="F1333" t="s">
        <v>21</v>
      </c>
      <c r="G1333">
        <v>68</v>
      </c>
      <c r="H1333">
        <v>205</v>
      </c>
      <c r="I1333" t="str">
        <f>_xlfn.XLOOKUP($C1333,dim_campaigns!$D$2:$D$3,dim_campaigns!$A$2:$A$3,"",0)</f>
        <v>Diwali</v>
      </c>
      <c r="J1333" s="6">
        <f t="shared" si="40"/>
        <v>2.0147058823529411</v>
      </c>
      <c r="K1333">
        <f t="shared" si="41"/>
        <v>59675</v>
      </c>
      <c r="L1333" t="str">
        <f>VLOOKUP($B1333,dim_stores!$A$1:$C$51,2,0)</f>
        <v>Chennai</v>
      </c>
    </row>
    <row r="1334" spans="1:12" x14ac:dyDescent="0.3">
      <c r="A1334" t="s">
        <v>1325</v>
      </c>
      <c r="B1334" t="s">
        <v>60</v>
      </c>
      <c r="C1334" t="s">
        <v>10</v>
      </c>
      <c r="D1334" t="s">
        <v>35</v>
      </c>
      <c r="E1334">
        <v>350</v>
      </c>
      <c r="F1334" t="s">
        <v>21</v>
      </c>
      <c r="G1334">
        <v>60</v>
      </c>
      <c r="H1334">
        <v>240</v>
      </c>
      <c r="I1334" t="str">
        <f>_xlfn.XLOOKUP($C1334,dim_campaigns!$D$2:$D$3,dim_campaigns!$A$2:$A$3,"",0)</f>
        <v>Sankranti</v>
      </c>
      <c r="J1334" s="6">
        <f t="shared" si="40"/>
        <v>3</v>
      </c>
      <c r="K1334">
        <f t="shared" si="41"/>
        <v>63000</v>
      </c>
      <c r="L1334" t="str">
        <f>VLOOKUP($B1334,dim_stores!$A$1:$C$51,2,0)</f>
        <v>Trivandrum</v>
      </c>
    </row>
    <row r="1335" spans="1:12" x14ac:dyDescent="0.3">
      <c r="A1335" t="s">
        <v>1326</v>
      </c>
      <c r="B1335" t="s">
        <v>161</v>
      </c>
      <c r="C1335" t="s">
        <v>10</v>
      </c>
      <c r="D1335" t="s">
        <v>24</v>
      </c>
      <c r="E1335">
        <v>3000</v>
      </c>
      <c r="F1335" t="s">
        <v>25</v>
      </c>
      <c r="G1335">
        <v>115</v>
      </c>
      <c r="H1335">
        <v>332</v>
      </c>
      <c r="I1335" t="str">
        <f>_xlfn.XLOOKUP($C1335,dim_campaigns!$D$2:$D$3,dim_campaigns!$A$2:$A$3,"",0)</f>
        <v>Sankranti</v>
      </c>
      <c r="J1335" s="6">
        <f t="shared" si="40"/>
        <v>1.8869565217391304</v>
      </c>
      <c r="K1335">
        <f t="shared" si="41"/>
        <v>1175000</v>
      </c>
      <c r="L1335" t="str">
        <f>VLOOKUP($B1335,dim_stores!$A$1:$C$51,2,0)</f>
        <v>Chennai</v>
      </c>
    </row>
    <row r="1336" spans="1:12" x14ac:dyDescent="0.3">
      <c r="A1336" t="s">
        <v>1327</v>
      </c>
      <c r="B1336" t="s">
        <v>84</v>
      </c>
      <c r="C1336" t="s">
        <v>10</v>
      </c>
      <c r="D1336" t="s">
        <v>38</v>
      </c>
      <c r="E1336">
        <v>1190</v>
      </c>
      <c r="F1336" t="s">
        <v>21</v>
      </c>
      <c r="G1336">
        <v>54</v>
      </c>
      <c r="H1336">
        <v>238</v>
      </c>
      <c r="I1336" t="str">
        <f>_xlfn.XLOOKUP($C1336,dim_campaigns!$D$2:$D$3,dim_campaigns!$A$2:$A$3,"",0)</f>
        <v>Sankranti</v>
      </c>
      <c r="J1336" s="6">
        <f t="shared" si="40"/>
        <v>3.4074074074074074</v>
      </c>
      <c r="K1336">
        <f t="shared" si="41"/>
        <v>205870</v>
      </c>
      <c r="L1336" t="str">
        <f>VLOOKUP($B1336,dim_stores!$A$1:$C$51,2,0)</f>
        <v>Mysuru</v>
      </c>
    </row>
    <row r="1337" spans="1:12" x14ac:dyDescent="0.3">
      <c r="A1337" t="s">
        <v>1328</v>
      </c>
      <c r="B1337" t="s">
        <v>23</v>
      </c>
      <c r="C1337" t="s">
        <v>15</v>
      </c>
      <c r="D1337" t="s">
        <v>35</v>
      </c>
      <c r="E1337">
        <v>350</v>
      </c>
      <c r="F1337" t="s">
        <v>21</v>
      </c>
      <c r="G1337">
        <v>40</v>
      </c>
      <c r="H1337">
        <v>132</v>
      </c>
      <c r="I1337" t="str">
        <f>_xlfn.XLOOKUP($C1337,dim_campaigns!$D$2:$D$3,dim_campaigns!$A$2:$A$3,"",0)</f>
        <v>Diwali</v>
      </c>
      <c r="J1337" s="6">
        <f t="shared" si="40"/>
        <v>2.2999999999999998</v>
      </c>
      <c r="K1337">
        <f t="shared" si="41"/>
        <v>37100</v>
      </c>
      <c r="L1337" t="str">
        <f>VLOOKUP($B1337,dim_stores!$A$1:$C$51,2,0)</f>
        <v>Coimbatore</v>
      </c>
    </row>
    <row r="1338" spans="1:12" x14ac:dyDescent="0.3">
      <c r="A1338" t="s">
        <v>1329</v>
      </c>
      <c r="B1338" t="s">
        <v>89</v>
      </c>
      <c r="C1338" t="s">
        <v>10</v>
      </c>
      <c r="D1338" t="s">
        <v>51</v>
      </c>
      <c r="E1338">
        <v>370</v>
      </c>
      <c r="F1338" t="s">
        <v>21</v>
      </c>
      <c r="G1338">
        <v>183</v>
      </c>
      <c r="H1338">
        <v>708</v>
      </c>
      <c r="I1338" t="str">
        <f>_xlfn.XLOOKUP($C1338,dim_campaigns!$D$2:$D$3,dim_campaigns!$A$2:$A$3,"",0)</f>
        <v>Sankranti</v>
      </c>
      <c r="J1338" s="6">
        <f t="shared" si="40"/>
        <v>2.8688524590163933</v>
      </c>
      <c r="K1338">
        <f t="shared" si="41"/>
        <v>198690</v>
      </c>
      <c r="L1338" t="str">
        <f>VLOOKUP($B1338,dim_stores!$A$1:$C$51,2,0)</f>
        <v>Vijayawada</v>
      </c>
    </row>
    <row r="1339" spans="1:12" x14ac:dyDescent="0.3">
      <c r="A1339" t="s">
        <v>1330</v>
      </c>
      <c r="B1339" t="s">
        <v>31</v>
      </c>
      <c r="C1339" t="s">
        <v>15</v>
      </c>
      <c r="D1339" t="s">
        <v>38</v>
      </c>
      <c r="E1339">
        <v>1190</v>
      </c>
      <c r="F1339" t="s">
        <v>21</v>
      </c>
      <c r="G1339">
        <v>38</v>
      </c>
      <c r="H1339">
        <v>129</v>
      </c>
      <c r="I1339" t="str">
        <f>_xlfn.XLOOKUP($C1339,dim_campaigns!$D$2:$D$3,dim_campaigns!$A$2:$A$3,"",0)</f>
        <v>Diwali</v>
      </c>
      <c r="J1339" s="6">
        <f t="shared" si="40"/>
        <v>2.3947368421052633</v>
      </c>
      <c r="K1339">
        <f t="shared" si="41"/>
        <v>121975</v>
      </c>
      <c r="L1339" t="str">
        <f>VLOOKUP($B1339,dim_stores!$A$1:$C$51,2,0)</f>
        <v>Visakhapatnam</v>
      </c>
    </row>
    <row r="1340" spans="1:12" x14ac:dyDescent="0.3">
      <c r="A1340" t="s">
        <v>1331</v>
      </c>
      <c r="B1340" t="s">
        <v>81</v>
      </c>
      <c r="C1340" t="s">
        <v>10</v>
      </c>
      <c r="D1340" t="s">
        <v>16</v>
      </c>
      <c r="E1340">
        <v>200</v>
      </c>
      <c r="F1340" t="s">
        <v>21</v>
      </c>
      <c r="G1340">
        <v>307</v>
      </c>
      <c r="H1340">
        <v>1277</v>
      </c>
      <c r="I1340" t="str">
        <f>_xlfn.XLOOKUP($C1340,dim_campaigns!$D$2:$D$3,dim_campaigns!$A$2:$A$3,"",0)</f>
        <v>Sankranti</v>
      </c>
      <c r="J1340" s="6">
        <f t="shared" si="40"/>
        <v>3.1596091205211727</v>
      </c>
      <c r="K1340">
        <f t="shared" si="41"/>
        <v>189100</v>
      </c>
      <c r="L1340" t="str">
        <f>VLOOKUP($B1340,dim_stores!$A$1:$C$51,2,0)</f>
        <v>Madurai</v>
      </c>
    </row>
    <row r="1341" spans="1:12" x14ac:dyDescent="0.3">
      <c r="A1341" t="s">
        <v>1332</v>
      </c>
      <c r="B1341" t="s">
        <v>52</v>
      </c>
      <c r="C1341" t="s">
        <v>15</v>
      </c>
      <c r="D1341" t="s">
        <v>48</v>
      </c>
      <c r="E1341">
        <v>62</v>
      </c>
      <c r="F1341" t="s">
        <v>12</v>
      </c>
      <c r="G1341">
        <v>98</v>
      </c>
      <c r="H1341">
        <v>133</v>
      </c>
      <c r="I1341" t="str">
        <f>_xlfn.XLOOKUP($C1341,dim_campaigns!$D$2:$D$3,dim_campaigns!$A$2:$A$3,"",0)</f>
        <v>Diwali</v>
      </c>
      <c r="J1341" s="6">
        <f t="shared" si="40"/>
        <v>0.35714285714285715</v>
      </c>
      <c r="K1341">
        <f t="shared" si="41"/>
        <v>10199</v>
      </c>
      <c r="L1341" t="str">
        <f>VLOOKUP($B1341,dim_stores!$A$1:$C$51,2,0)</f>
        <v>Visakhapatnam</v>
      </c>
    </row>
    <row r="1342" spans="1:12" x14ac:dyDescent="0.3">
      <c r="A1342" t="s">
        <v>1333</v>
      </c>
      <c r="B1342" t="s">
        <v>99</v>
      </c>
      <c r="C1342" t="s">
        <v>10</v>
      </c>
      <c r="D1342" t="s">
        <v>85</v>
      </c>
      <c r="E1342">
        <v>90</v>
      </c>
      <c r="F1342" t="s">
        <v>17</v>
      </c>
      <c r="G1342">
        <v>40</v>
      </c>
      <c r="H1342">
        <v>32</v>
      </c>
      <c r="I1342" t="str">
        <f>_xlfn.XLOOKUP($C1342,dim_campaigns!$D$2:$D$3,dim_campaigns!$A$2:$A$3,"",0)</f>
        <v>Sankranti</v>
      </c>
      <c r="J1342" s="6">
        <f t="shared" si="40"/>
        <v>-0.2</v>
      </c>
      <c r="K1342">
        <f t="shared" si="41"/>
        <v>5760</v>
      </c>
      <c r="L1342" t="str">
        <f>VLOOKUP($B1342,dim_stores!$A$1:$C$51,2,0)</f>
        <v>Coimbatore</v>
      </c>
    </row>
    <row r="1343" spans="1:12" x14ac:dyDescent="0.3">
      <c r="A1343" t="s">
        <v>1334</v>
      </c>
      <c r="B1343" t="s">
        <v>60</v>
      </c>
      <c r="C1343" t="s">
        <v>10</v>
      </c>
      <c r="D1343" t="s">
        <v>48</v>
      </c>
      <c r="E1343">
        <v>62</v>
      </c>
      <c r="F1343" t="s">
        <v>12</v>
      </c>
      <c r="G1343">
        <v>22</v>
      </c>
      <c r="H1343">
        <v>30</v>
      </c>
      <c r="I1343" t="str">
        <f>_xlfn.XLOOKUP($C1343,dim_campaigns!$D$2:$D$3,dim_campaigns!$A$2:$A$3,"",0)</f>
        <v>Sankranti</v>
      </c>
      <c r="J1343" s="6">
        <f t="shared" si="40"/>
        <v>0.36363636363636365</v>
      </c>
      <c r="K1343">
        <f t="shared" si="41"/>
        <v>2294</v>
      </c>
      <c r="L1343" t="str">
        <f>VLOOKUP($B1343,dim_stores!$A$1:$C$51,2,0)</f>
        <v>Trivandrum</v>
      </c>
    </row>
    <row r="1344" spans="1:12" x14ac:dyDescent="0.3">
      <c r="A1344" t="s">
        <v>1335</v>
      </c>
      <c r="B1344" t="s">
        <v>117</v>
      </c>
      <c r="C1344" t="s">
        <v>15</v>
      </c>
      <c r="D1344" t="s">
        <v>51</v>
      </c>
      <c r="E1344">
        <v>290</v>
      </c>
      <c r="F1344" t="s">
        <v>17</v>
      </c>
      <c r="G1344">
        <v>152</v>
      </c>
      <c r="H1344">
        <v>133</v>
      </c>
      <c r="I1344" t="str">
        <f>_xlfn.XLOOKUP($C1344,dim_campaigns!$D$2:$D$3,dim_campaigns!$A$2:$A$3,"",0)</f>
        <v>Diwali</v>
      </c>
      <c r="J1344" s="6">
        <f t="shared" si="40"/>
        <v>-0.125</v>
      </c>
      <c r="K1344">
        <f t="shared" si="41"/>
        <v>73007.5</v>
      </c>
      <c r="L1344" t="str">
        <f>VLOOKUP($B1344,dim_stores!$A$1:$C$51,2,0)</f>
        <v>Mangalore</v>
      </c>
    </row>
    <row r="1345" spans="1:12" x14ac:dyDescent="0.3">
      <c r="A1345" t="s">
        <v>1336</v>
      </c>
      <c r="B1345" t="s">
        <v>93</v>
      </c>
      <c r="C1345" t="s">
        <v>15</v>
      </c>
      <c r="D1345" t="s">
        <v>16</v>
      </c>
      <c r="E1345">
        <v>156</v>
      </c>
      <c r="F1345" t="s">
        <v>17</v>
      </c>
      <c r="G1345">
        <v>369</v>
      </c>
      <c r="H1345">
        <v>332</v>
      </c>
      <c r="I1345" t="str">
        <f>_xlfn.XLOOKUP($C1345,dim_campaigns!$D$2:$D$3,dim_campaigns!$A$2:$A$3,"",0)</f>
        <v>Diwali</v>
      </c>
      <c r="J1345" s="6">
        <f t="shared" si="40"/>
        <v>-0.1002710027100271</v>
      </c>
      <c r="K1345">
        <f t="shared" si="41"/>
        <v>96408</v>
      </c>
      <c r="L1345" t="str">
        <f>VLOOKUP($B1345,dim_stores!$A$1:$C$51,2,0)</f>
        <v>Bengaluru</v>
      </c>
    </row>
    <row r="1346" spans="1:12" x14ac:dyDescent="0.3">
      <c r="A1346" t="s">
        <v>1337</v>
      </c>
      <c r="B1346" t="s">
        <v>84</v>
      </c>
      <c r="C1346" t="s">
        <v>10</v>
      </c>
      <c r="D1346" t="s">
        <v>28</v>
      </c>
      <c r="E1346">
        <v>55</v>
      </c>
      <c r="F1346" t="s">
        <v>17</v>
      </c>
      <c r="G1346">
        <v>19</v>
      </c>
      <c r="H1346">
        <v>14</v>
      </c>
      <c r="I1346" t="str">
        <f>_xlfn.XLOOKUP($C1346,dim_campaigns!$D$2:$D$3,dim_campaigns!$A$2:$A$3,"",0)</f>
        <v>Sankranti</v>
      </c>
      <c r="J1346" s="6">
        <f t="shared" si="40"/>
        <v>-0.26315789473684209</v>
      </c>
      <c r="K1346">
        <f t="shared" si="41"/>
        <v>1622.5</v>
      </c>
      <c r="L1346" t="str">
        <f>VLOOKUP($B1346,dim_stores!$A$1:$C$51,2,0)</f>
        <v>Mysuru</v>
      </c>
    </row>
    <row r="1347" spans="1:12" x14ac:dyDescent="0.3">
      <c r="A1347" t="s">
        <v>1338</v>
      </c>
      <c r="B1347" t="s">
        <v>14</v>
      </c>
      <c r="C1347" t="s">
        <v>15</v>
      </c>
      <c r="D1347" t="s">
        <v>28</v>
      </c>
      <c r="E1347">
        <v>55</v>
      </c>
      <c r="F1347" t="s">
        <v>17</v>
      </c>
      <c r="G1347">
        <v>105</v>
      </c>
      <c r="H1347">
        <v>82</v>
      </c>
      <c r="I1347" t="str">
        <f>_xlfn.XLOOKUP($C1347,dim_campaigns!$D$2:$D$3,dim_campaigns!$A$2:$A$3,"",0)</f>
        <v>Diwali</v>
      </c>
      <c r="J1347" s="6">
        <f t="shared" ref="J1347:J1410" si="42">IFERROR((H1347-G1347)/G1347,0)</f>
        <v>-0.21904761904761905</v>
      </c>
      <c r="K1347">
        <f t="shared" ref="K1347:K1410" si="43">E1347*G1347+(E1347-IF(F1347="500 Cashback",500,IF(F1347="BOGOF",E1347*50%,IF(F1347="25% OFF",E1347*25%,IF(F1347="33% OFF",E1347*33%,IF(F1347="50% OFF",E1347*50%,0))))))*H1347</f>
        <v>9157.5</v>
      </c>
      <c r="L1347" t="str">
        <f>VLOOKUP($B1347,dim_stores!$A$1:$C$51,2,0)</f>
        <v>Bengaluru</v>
      </c>
    </row>
    <row r="1348" spans="1:12" x14ac:dyDescent="0.3">
      <c r="A1348" t="s">
        <v>1339</v>
      </c>
      <c r="B1348" t="s">
        <v>27</v>
      </c>
      <c r="C1348" t="s">
        <v>15</v>
      </c>
      <c r="D1348" t="s">
        <v>61</v>
      </c>
      <c r="E1348">
        <v>172</v>
      </c>
      <c r="F1348" t="s">
        <v>54</v>
      </c>
      <c r="G1348">
        <v>283</v>
      </c>
      <c r="H1348">
        <v>492</v>
      </c>
      <c r="I1348" t="str">
        <f>_xlfn.XLOOKUP($C1348,dim_campaigns!$D$2:$D$3,dim_campaigns!$A$2:$A$3,"",0)</f>
        <v>Diwali</v>
      </c>
      <c r="J1348" s="6">
        <f t="shared" si="42"/>
        <v>0.7385159010600707</v>
      </c>
      <c r="K1348">
        <f t="shared" si="43"/>
        <v>105374.07999999999</v>
      </c>
      <c r="L1348" t="str">
        <f>VLOOKUP($B1348,dim_stores!$A$1:$C$51,2,0)</f>
        <v>Bengaluru</v>
      </c>
    </row>
    <row r="1349" spans="1:12" x14ac:dyDescent="0.3">
      <c r="A1349" t="s">
        <v>1340</v>
      </c>
      <c r="B1349" t="s">
        <v>14</v>
      </c>
      <c r="C1349" t="s">
        <v>15</v>
      </c>
      <c r="D1349" t="s">
        <v>53</v>
      </c>
      <c r="E1349">
        <v>860</v>
      </c>
      <c r="F1349" t="s">
        <v>54</v>
      </c>
      <c r="G1349">
        <v>392</v>
      </c>
      <c r="H1349">
        <v>568</v>
      </c>
      <c r="I1349" t="str">
        <f>_xlfn.XLOOKUP($C1349,dim_campaigns!$D$2:$D$3,dim_campaigns!$A$2:$A$3,"",0)</f>
        <v>Diwali</v>
      </c>
      <c r="J1349" s="6">
        <f t="shared" si="42"/>
        <v>0.44897959183673469</v>
      </c>
      <c r="K1349">
        <f t="shared" si="43"/>
        <v>664401.60000000009</v>
      </c>
      <c r="L1349" t="str">
        <f>VLOOKUP($B1349,dim_stores!$A$1:$C$51,2,0)</f>
        <v>Bengaluru</v>
      </c>
    </row>
    <row r="1350" spans="1:12" x14ac:dyDescent="0.3">
      <c r="A1350">
        <v>966652</v>
      </c>
      <c r="B1350" t="s">
        <v>99</v>
      </c>
      <c r="C1350" t="s">
        <v>15</v>
      </c>
      <c r="D1350" t="s">
        <v>28</v>
      </c>
      <c r="E1350">
        <v>55</v>
      </c>
      <c r="F1350" t="s">
        <v>17</v>
      </c>
      <c r="G1350">
        <v>64</v>
      </c>
      <c r="H1350">
        <v>55</v>
      </c>
      <c r="I1350" t="str">
        <f>_xlfn.XLOOKUP($C1350,dim_campaigns!$D$2:$D$3,dim_campaigns!$A$2:$A$3,"",0)</f>
        <v>Diwali</v>
      </c>
      <c r="J1350" s="6">
        <f t="shared" si="42"/>
        <v>-0.140625</v>
      </c>
      <c r="K1350">
        <f t="shared" si="43"/>
        <v>5788.75</v>
      </c>
      <c r="L1350" t="str">
        <f>VLOOKUP($B1350,dim_stores!$A$1:$C$51,2,0)</f>
        <v>Coimbatore</v>
      </c>
    </row>
    <row r="1351" spans="1:12" x14ac:dyDescent="0.3">
      <c r="A1351" t="s">
        <v>1341</v>
      </c>
      <c r="B1351" t="s">
        <v>207</v>
      </c>
      <c r="C1351" t="s">
        <v>15</v>
      </c>
      <c r="D1351" t="s">
        <v>48</v>
      </c>
      <c r="E1351">
        <v>62</v>
      </c>
      <c r="F1351" t="s">
        <v>12</v>
      </c>
      <c r="G1351">
        <v>133</v>
      </c>
      <c r="H1351">
        <v>195</v>
      </c>
      <c r="I1351" t="str">
        <f>_xlfn.XLOOKUP($C1351,dim_campaigns!$D$2:$D$3,dim_campaigns!$A$2:$A$3,"",0)</f>
        <v>Diwali</v>
      </c>
      <c r="J1351" s="6">
        <f t="shared" si="42"/>
        <v>0.46616541353383456</v>
      </c>
      <c r="K1351">
        <f t="shared" si="43"/>
        <v>14291</v>
      </c>
      <c r="L1351" t="str">
        <f>VLOOKUP($B1351,dim_stores!$A$1:$C$51,2,0)</f>
        <v>Hyderabad</v>
      </c>
    </row>
    <row r="1352" spans="1:12" x14ac:dyDescent="0.3">
      <c r="A1352" t="s">
        <v>1342</v>
      </c>
      <c r="B1352" t="s">
        <v>84</v>
      </c>
      <c r="C1352" t="s">
        <v>15</v>
      </c>
      <c r="D1352" t="s">
        <v>28</v>
      </c>
      <c r="E1352">
        <v>55</v>
      </c>
      <c r="F1352" t="s">
        <v>17</v>
      </c>
      <c r="G1352">
        <v>89</v>
      </c>
      <c r="H1352">
        <v>71</v>
      </c>
      <c r="I1352" t="str">
        <f>_xlfn.XLOOKUP($C1352,dim_campaigns!$D$2:$D$3,dim_campaigns!$A$2:$A$3,"",0)</f>
        <v>Diwali</v>
      </c>
      <c r="J1352" s="6">
        <f t="shared" si="42"/>
        <v>-0.20224719101123595</v>
      </c>
      <c r="K1352">
        <f t="shared" si="43"/>
        <v>7823.75</v>
      </c>
      <c r="L1352" t="str">
        <f>VLOOKUP($B1352,dim_stores!$A$1:$C$51,2,0)</f>
        <v>Mysuru</v>
      </c>
    </row>
    <row r="1353" spans="1:12" x14ac:dyDescent="0.3">
      <c r="A1353" t="s">
        <v>1343</v>
      </c>
      <c r="B1353" t="s">
        <v>67</v>
      </c>
      <c r="C1353" t="s">
        <v>10</v>
      </c>
      <c r="D1353" t="s">
        <v>16</v>
      </c>
      <c r="E1353">
        <v>200</v>
      </c>
      <c r="F1353" t="s">
        <v>21</v>
      </c>
      <c r="G1353">
        <v>415</v>
      </c>
      <c r="H1353">
        <v>1759</v>
      </c>
      <c r="I1353" t="str">
        <f>_xlfn.XLOOKUP($C1353,dim_campaigns!$D$2:$D$3,dim_campaigns!$A$2:$A$3,"",0)</f>
        <v>Sankranti</v>
      </c>
      <c r="J1353" s="6">
        <f t="shared" si="42"/>
        <v>3.2385542168674699</v>
      </c>
      <c r="K1353">
        <f t="shared" si="43"/>
        <v>258900</v>
      </c>
      <c r="L1353" t="str">
        <f>VLOOKUP($B1353,dim_stores!$A$1:$C$51,2,0)</f>
        <v>Bengaluru</v>
      </c>
    </row>
    <row r="1354" spans="1:12" x14ac:dyDescent="0.3">
      <c r="A1354" t="s">
        <v>1344</v>
      </c>
      <c r="B1354" t="s">
        <v>107</v>
      </c>
      <c r="C1354" t="s">
        <v>15</v>
      </c>
      <c r="D1354" t="s">
        <v>68</v>
      </c>
      <c r="E1354">
        <v>1020</v>
      </c>
      <c r="F1354" t="s">
        <v>21</v>
      </c>
      <c r="G1354">
        <v>29</v>
      </c>
      <c r="H1354">
        <v>101</v>
      </c>
      <c r="I1354" t="str">
        <f>_xlfn.XLOOKUP($C1354,dim_campaigns!$D$2:$D$3,dim_campaigns!$A$2:$A$3,"",0)</f>
        <v>Diwali</v>
      </c>
      <c r="J1354" s="6">
        <f t="shared" si="42"/>
        <v>2.4827586206896552</v>
      </c>
      <c r="K1354">
        <f t="shared" si="43"/>
        <v>81090</v>
      </c>
      <c r="L1354" t="str">
        <f>VLOOKUP($B1354,dim_stores!$A$1:$C$51,2,0)</f>
        <v>Coimbatore</v>
      </c>
    </row>
    <row r="1355" spans="1:12" x14ac:dyDescent="0.3">
      <c r="A1355" t="s">
        <v>1345</v>
      </c>
      <c r="B1355" t="s">
        <v>99</v>
      </c>
      <c r="C1355" t="s">
        <v>10</v>
      </c>
      <c r="D1355" t="s">
        <v>53</v>
      </c>
      <c r="E1355">
        <v>860</v>
      </c>
      <c r="F1355" t="s">
        <v>54</v>
      </c>
      <c r="G1355">
        <v>336</v>
      </c>
      <c r="H1355">
        <v>534</v>
      </c>
      <c r="I1355" t="str">
        <f>_xlfn.XLOOKUP($C1355,dim_campaigns!$D$2:$D$3,dim_campaigns!$A$2:$A$3,"",0)</f>
        <v>Sankranti</v>
      </c>
      <c r="J1355" s="6">
        <f t="shared" si="42"/>
        <v>0.5892857142857143</v>
      </c>
      <c r="K1355">
        <f t="shared" si="43"/>
        <v>596650.80000000005</v>
      </c>
      <c r="L1355" t="str">
        <f>VLOOKUP($B1355,dim_stores!$A$1:$C$51,2,0)</f>
        <v>Coimbatore</v>
      </c>
    </row>
    <row r="1356" spans="1:12" x14ac:dyDescent="0.3">
      <c r="A1356">
        <v>613571</v>
      </c>
      <c r="B1356" t="s">
        <v>174</v>
      </c>
      <c r="C1356" t="s">
        <v>15</v>
      </c>
      <c r="D1356" t="s">
        <v>24</v>
      </c>
      <c r="E1356">
        <v>3000</v>
      </c>
      <c r="F1356" t="s">
        <v>25</v>
      </c>
      <c r="G1356">
        <v>168</v>
      </c>
      <c r="H1356">
        <v>514</v>
      </c>
      <c r="I1356" t="str">
        <f>_xlfn.XLOOKUP($C1356,dim_campaigns!$D$2:$D$3,dim_campaigns!$A$2:$A$3,"",0)</f>
        <v>Diwali</v>
      </c>
      <c r="J1356" s="6">
        <f t="shared" si="42"/>
        <v>2.0595238095238093</v>
      </c>
      <c r="K1356">
        <f t="shared" si="43"/>
        <v>1789000</v>
      </c>
      <c r="L1356" t="str">
        <f>VLOOKUP($B1356,dim_stores!$A$1:$C$51,2,0)</f>
        <v>Trivandrum</v>
      </c>
    </row>
    <row r="1357" spans="1:12" x14ac:dyDescent="0.3">
      <c r="A1357" t="s">
        <v>1346</v>
      </c>
      <c r="B1357" t="s">
        <v>96</v>
      </c>
      <c r="C1357" t="s">
        <v>10</v>
      </c>
      <c r="D1357" t="s">
        <v>20</v>
      </c>
      <c r="E1357">
        <v>300</v>
      </c>
      <c r="F1357" t="s">
        <v>21</v>
      </c>
      <c r="G1357">
        <v>30</v>
      </c>
      <c r="H1357">
        <v>129</v>
      </c>
      <c r="I1357" t="str">
        <f>_xlfn.XLOOKUP($C1357,dim_campaigns!$D$2:$D$3,dim_campaigns!$A$2:$A$3,"",0)</f>
        <v>Sankranti</v>
      </c>
      <c r="J1357" s="6">
        <f t="shared" si="42"/>
        <v>3.3</v>
      </c>
      <c r="K1357">
        <f t="shared" si="43"/>
        <v>28350</v>
      </c>
      <c r="L1357" t="str">
        <f>VLOOKUP($B1357,dim_stores!$A$1:$C$51,2,0)</f>
        <v>Mysuru</v>
      </c>
    </row>
    <row r="1358" spans="1:12" x14ac:dyDescent="0.3">
      <c r="A1358" t="s">
        <v>1347</v>
      </c>
      <c r="B1358" t="s">
        <v>207</v>
      </c>
      <c r="C1358" t="s">
        <v>15</v>
      </c>
      <c r="D1358" t="s">
        <v>28</v>
      </c>
      <c r="E1358">
        <v>55</v>
      </c>
      <c r="F1358" t="s">
        <v>17</v>
      </c>
      <c r="G1358">
        <v>98</v>
      </c>
      <c r="H1358">
        <v>88</v>
      </c>
      <c r="I1358" t="str">
        <f>_xlfn.XLOOKUP($C1358,dim_campaigns!$D$2:$D$3,dim_campaigns!$A$2:$A$3,"",0)</f>
        <v>Diwali</v>
      </c>
      <c r="J1358" s="6">
        <f t="shared" si="42"/>
        <v>-0.10204081632653061</v>
      </c>
      <c r="K1358">
        <f t="shared" si="43"/>
        <v>9020</v>
      </c>
      <c r="L1358" t="str">
        <f>VLOOKUP($B1358,dim_stores!$A$1:$C$51,2,0)</f>
        <v>Hyderabad</v>
      </c>
    </row>
    <row r="1359" spans="1:12" x14ac:dyDescent="0.3">
      <c r="A1359">
        <v>675714</v>
      </c>
      <c r="B1359" t="s">
        <v>99</v>
      </c>
      <c r="C1359" t="s">
        <v>15</v>
      </c>
      <c r="D1359" t="s">
        <v>35</v>
      </c>
      <c r="E1359">
        <v>350</v>
      </c>
      <c r="F1359" t="s">
        <v>21</v>
      </c>
      <c r="G1359">
        <v>61</v>
      </c>
      <c r="H1359">
        <v>201</v>
      </c>
      <c r="I1359" t="str">
        <f>_xlfn.XLOOKUP($C1359,dim_campaigns!$D$2:$D$3,dim_campaigns!$A$2:$A$3,"",0)</f>
        <v>Diwali</v>
      </c>
      <c r="J1359" s="6">
        <f t="shared" si="42"/>
        <v>2.2950819672131146</v>
      </c>
      <c r="K1359">
        <f t="shared" si="43"/>
        <v>56525</v>
      </c>
      <c r="L1359" t="str">
        <f>VLOOKUP($B1359,dim_stores!$A$1:$C$51,2,0)</f>
        <v>Coimbatore</v>
      </c>
    </row>
    <row r="1360" spans="1:12" x14ac:dyDescent="0.3">
      <c r="A1360" t="s">
        <v>1348</v>
      </c>
      <c r="B1360" t="s">
        <v>84</v>
      </c>
      <c r="C1360" t="s">
        <v>15</v>
      </c>
      <c r="D1360" t="s">
        <v>48</v>
      </c>
      <c r="E1360">
        <v>62</v>
      </c>
      <c r="F1360" t="s">
        <v>12</v>
      </c>
      <c r="G1360">
        <v>127</v>
      </c>
      <c r="H1360">
        <v>185</v>
      </c>
      <c r="I1360" t="str">
        <f>_xlfn.XLOOKUP($C1360,dim_campaigns!$D$2:$D$3,dim_campaigns!$A$2:$A$3,"",0)</f>
        <v>Diwali</v>
      </c>
      <c r="J1360" s="6">
        <f t="shared" si="42"/>
        <v>0.45669291338582679</v>
      </c>
      <c r="K1360">
        <f t="shared" si="43"/>
        <v>13609</v>
      </c>
      <c r="L1360" t="str">
        <f>VLOOKUP($B1360,dim_stores!$A$1:$C$51,2,0)</f>
        <v>Mysuru</v>
      </c>
    </row>
    <row r="1361" spans="1:12" x14ac:dyDescent="0.3">
      <c r="A1361" t="s">
        <v>1349</v>
      </c>
      <c r="B1361" t="s">
        <v>67</v>
      </c>
      <c r="C1361" t="s">
        <v>15</v>
      </c>
      <c r="D1361" t="s">
        <v>24</v>
      </c>
      <c r="E1361">
        <v>3000</v>
      </c>
      <c r="F1361" t="s">
        <v>25</v>
      </c>
      <c r="G1361">
        <v>434</v>
      </c>
      <c r="H1361">
        <v>1514</v>
      </c>
      <c r="I1361" t="str">
        <f>_xlfn.XLOOKUP($C1361,dim_campaigns!$D$2:$D$3,dim_campaigns!$A$2:$A$3,"",0)</f>
        <v>Diwali</v>
      </c>
      <c r="J1361" s="6">
        <f t="shared" si="42"/>
        <v>2.4884792626728109</v>
      </c>
      <c r="K1361">
        <f t="shared" si="43"/>
        <v>5087000</v>
      </c>
      <c r="L1361" t="str">
        <f>VLOOKUP($B1361,dim_stores!$A$1:$C$51,2,0)</f>
        <v>Bengaluru</v>
      </c>
    </row>
    <row r="1362" spans="1:12" x14ac:dyDescent="0.3">
      <c r="A1362" t="s">
        <v>1350</v>
      </c>
      <c r="B1362" t="s">
        <v>50</v>
      </c>
      <c r="C1362" t="s">
        <v>10</v>
      </c>
      <c r="D1362" t="s">
        <v>28</v>
      </c>
      <c r="E1362">
        <v>55</v>
      </c>
      <c r="F1362" t="s">
        <v>17</v>
      </c>
      <c r="G1362">
        <v>25</v>
      </c>
      <c r="H1362">
        <v>18</v>
      </c>
      <c r="I1362" t="str">
        <f>_xlfn.XLOOKUP($C1362,dim_campaigns!$D$2:$D$3,dim_campaigns!$A$2:$A$3,"",0)</f>
        <v>Sankranti</v>
      </c>
      <c r="J1362" s="6">
        <f t="shared" si="42"/>
        <v>-0.28000000000000003</v>
      </c>
      <c r="K1362">
        <f t="shared" si="43"/>
        <v>2117.5</v>
      </c>
      <c r="L1362" t="str">
        <f>VLOOKUP($B1362,dim_stores!$A$1:$C$51,2,0)</f>
        <v>Bengaluru</v>
      </c>
    </row>
    <row r="1363" spans="1:12" x14ac:dyDescent="0.3">
      <c r="A1363" t="s">
        <v>1351</v>
      </c>
      <c r="B1363" t="s">
        <v>193</v>
      </c>
      <c r="C1363" t="s">
        <v>10</v>
      </c>
      <c r="D1363" t="s">
        <v>51</v>
      </c>
      <c r="E1363">
        <v>370</v>
      </c>
      <c r="F1363" t="s">
        <v>21</v>
      </c>
      <c r="G1363">
        <v>373</v>
      </c>
      <c r="H1363">
        <v>1439</v>
      </c>
      <c r="I1363" t="str">
        <f>_xlfn.XLOOKUP($C1363,dim_campaigns!$D$2:$D$3,dim_campaigns!$A$2:$A$3,"",0)</f>
        <v>Sankranti</v>
      </c>
      <c r="J1363" s="6">
        <f t="shared" si="42"/>
        <v>2.8579088471849867</v>
      </c>
      <c r="K1363">
        <f t="shared" si="43"/>
        <v>404225</v>
      </c>
      <c r="L1363" t="str">
        <f>VLOOKUP($B1363,dim_stores!$A$1:$C$51,2,0)</f>
        <v>Bengaluru</v>
      </c>
    </row>
    <row r="1364" spans="1:12" x14ac:dyDescent="0.3">
      <c r="A1364" t="s">
        <v>1352</v>
      </c>
      <c r="B1364" t="s">
        <v>42</v>
      </c>
      <c r="C1364" t="s">
        <v>15</v>
      </c>
      <c r="D1364" t="s">
        <v>32</v>
      </c>
      <c r="E1364">
        <v>65</v>
      </c>
      <c r="F1364" t="s">
        <v>12</v>
      </c>
      <c r="G1364">
        <v>134</v>
      </c>
      <c r="H1364">
        <v>182</v>
      </c>
      <c r="I1364" t="str">
        <f>_xlfn.XLOOKUP($C1364,dim_campaigns!$D$2:$D$3,dim_campaigns!$A$2:$A$3,"",0)</f>
        <v>Diwali</v>
      </c>
      <c r="J1364" s="6">
        <f t="shared" si="42"/>
        <v>0.35820895522388058</v>
      </c>
      <c r="K1364">
        <f t="shared" si="43"/>
        <v>14625</v>
      </c>
      <c r="L1364" t="str">
        <f>VLOOKUP($B1364,dim_stores!$A$1:$C$51,2,0)</f>
        <v>Mysuru</v>
      </c>
    </row>
    <row r="1365" spans="1:12" x14ac:dyDescent="0.3">
      <c r="A1365" t="s">
        <v>1353</v>
      </c>
      <c r="B1365" t="s">
        <v>29</v>
      </c>
      <c r="C1365" t="s">
        <v>15</v>
      </c>
      <c r="D1365" t="s">
        <v>16</v>
      </c>
      <c r="E1365">
        <v>156</v>
      </c>
      <c r="F1365" t="s">
        <v>17</v>
      </c>
      <c r="G1365">
        <v>306</v>
      </c>
      <c r="H1365">
        <v>275</v>
      </c>
      <c r="I1365" t="str">
        <f>_xlfn.XLOOKUP($C1365,dim_campaigns!$D$2:$D$3,dim_campaigns!$A$2:$A$3,"",0)</f>
        <v>Diwali</v>
      </c>
      <c r="J1365" s="6">
        <f t="shared" si="42"/>
        <v>-0.10130718954248366</v>
      </c>
      <c r="K1365">
        <f t="shared" si="43"/>
        <v>79911</v>
      </c>
      <c r="L1365" t="str">
        <f>VLOOKUP($B1365,dim_stores!$A$1:$C$51,2,0)</f>
        <v>Bengaluru</v>
      </c>
    </row>
    <row r="1366" spans="1:12" x14ac:dyDescent="0.3">
      <c r="A1366" t="s">
        <v>1354</v>
      </c>
      <c r="B1366" t="s">
        <v>34</v>
      </c>
      <c r="C1366" t="s">
        <v>10</v>
      </c>
      <c r="D1366" t="s">
        <v>32</v>
      </c>
      <c r="E1366">
        <v>50</v>
      </c>
      <c r="F1366" t="s">
        <v>17</v>
      </c>
      <c r="G1366">
        <v>33</v>
      </c>
      <c r="H1366">
        <v>31</v>
      </c>
      <c r="I1366" t="str">
        <f>_xlfn.XLOOKUP($C1366,dim_campaigns!$D$2:$D$3,dim_campaigns!$A$2:$A$3,"",0)</f>
        <v>Sankranti</v>
      </c>
      <c r="J1366" s="6">
        <f t="shared" si="42"/>
        <v>-6.0606060606060608E-2</v>
      </c>
      <c r="K1366">
        <f t="shared" si="43"/>
        <v>2812.5</v>
      </c>
      <c r="L1366" t="str">
        <f>VLOOKUP($B1366,dim_stores!$A$1:$C$51,2,0)</f>
        <v>Hyderabad</v>
      </c>
    </row>
    <row r="1367" spans="1:12" x14ac:dyDescent="0.3">
      <c r="A1367" t="s">
        <v>1355</v>
      </c>
      <c r="B1367" t="s">
        <v>96</v>
      </c>
      <c r="C1367" t="s">
        <v>10</v>
      </c>
      <c r="D1367" t="s">
        <v>85</v>
      </c>
      <c r="E1367">
        <v>90</v>
      </c>
      <c r="F1367" t="s">
        <v>17</v>
      </c>
      <c r="G1367">
        <v>54</v>
      </c>
      <c r="H1367">
        <v>45</v>
      </c>
      <c r="I1367" t="str">
        <f>_xlfn.XLOOKUP($C1367,dim_campaigns!$D$2:$D$3,dim_campaigns!$A$2:$A$3,"",0)</f>
        <v>Sankranti</v>
      </c>
      <c r="J1367" s="6">
        <f t="shared" si="42"/>
        <v>-0.16666666666666666</v>
      </c>
      <c r="K1367">
        <f t="shared" si="43"/>
        <v>7897.5</v>
      </c>
      <c r="L1367" t="str">
        <f>VLOOKUP($B1367,dim_stores!$A$1:$C$51,2,0)</f>
        <v>Mysuru</v>
      </c>
    </row>
    <row r="1368" spans="1:12" x14ac:dyDescent="0.3">
      <c r="A1368" t="s">
        <v>1356</v>
      </c>
      <c r="B1368" t="s">
        <v>50</v>
      </c>
      <c r="C1368" t="s">
        <v>15</v>
      </c>
      <c r="D1368" t="s">
        <v>24</v>
      </c>
      <c r="E1368">
        <v>3000</v>
      </c>
      <c r="F1368" t="s">
        <v>25</v>
      </c>
      <c r="G1368">
        <v>442</v>
      </c>
      <c r="H1368">
        <v>1365</v>
      </c>
      <c r="I1368" t="str">
        <f>_xlfn.XLOOKUP($C1368,dim_campaigns!$D$2:$D$3,dim_campaigns!$A$2:$A$3,"",0)</f>
        <v>Diwali</v>
      </c>
      <c r="J1368" s="6">
        <f t="shared" si="42"/>
        <v>2.0882352941176472</v>
      </c>
      <c r="K1368">
        <f t="shared" si="43"/>
        <v>4738500</v>
      </c>
      <c r="L1368" t="str">
        <f>VLOOKUP($B1368,dim_stores!$A$1:$C$51,2,0)</f>
        <v>Bengaluru</v>
      </c>
    </row>
    <row r="1369" spans="1:12" x14ac:dyDescent="0.3">
      <c r="A1369" t="s">
        <v>1357</v>
      </c>
      <c r="B1369" t="s">
        <v>19</v>
      </c>
      <c r="C1369" t="s">
        <v>15</v>
      </c>
      <c r="D1369" t="s">
        <v>43</v>
      </c>
      <c r="E1369">
        <v>415</v>
      </c>
      <c r="F1369" t="s">
        <v>17</v>
      </c>
      <c r="G1369">
        <v>52</v>
      </c>
      <c r="H1369">
        <v>50</v>
      </c>
      <c r="I1369" t="str">
        <f>_xlfn.XLOOKUP($C1369,dim_campaigns!$D$2:$D$3,dim_campaigns!$A$2:$A$3,"",0)</f>
        <v>Diwali</v>
      </c>
      <c r="J1369" s="6">
        <f t="shared" si="42"/>
        <v>-3.8461538461538464E-2</v>
      </c>
      <c r="K1369">
        <f t="shared" si="43"/>
        <v>37142.5</v>
      </c>
      <c r="L1369" t="str">
        <f>VLOOKUP($B1369,dim_stores!$A$1:$C$51,2,0)</f>
        <v>Vijayawada</v>
      </c>
    </row>
    <row r="1370" spans="1:12" x14ac:dyDescent="0.3">
      <c r="A1370" t="s">
        <v>1358</v>
      </c>
      <c r="B1370" t="s">
        <v>207</v>
      </c>
      <c r="C1370" t="s">
        <v>10</v>
      </c>
      <c r="D1370" t="s">
        <v>32</v>
      </c>
      <c r="E1370">
        <v>50</v>
      </c>
      <c r="F1370" t="s">
        <v>17</v>
      </c>
      <c r="G1370">
        <v>25</v>
      </c>
      <c r="H1370">
        <v>20</v>
      </c>
      <c r="I1370" t="str">
        <f>_xlfn.XLOOKUP($C1370,dim_campaigns!$D$2:$D$3,dim_campaigns!$A$2:$A$3,"",0)</f>
        <v>Sankranti</v>
      </c>
      <c r="J1370" s="6">
        <f t="shared" si="42"/>
        <v>-0.2</v>
      </c>
      <c r="K1370">
        <f t="shared" si="43"/>
        <v>2000</v>
      </c>
      <c r="L1370" t="str">
        <f>VLOOKUP($B1370,dim_stores!$A$1:$C$51,2,0)</f>
        <v>Hyderabad</v>
      </c>
    </row>
    <row r="1371" spans="1:12" x14ac:dyDescent="0.3">
      <c r="A1371" t="s">
        <v>1359</v>
      </c>
      <c r="B1371" t="s">
        <v>42</v>
      </c>
      <c r="C1371" t="s">
        <v>10</v>
      </c>
      <c r="D1371" t="s">
        <v>38</v>
      </c>
      <c r="E1371">
        <v>1190</v>
      </c>
      <c r="F1371" t="s">
        <v>21</v>
      </c>
      <c r="G1371">
        <v>61</v>
      </c>
      <c r="H1371">
        <v>163</v>
      </c>
      <c r="I1371" t="str">
        <f>_xlfn.XLOOKUP($C1371,dim_campaigns!$D$2:$D$3,dim_campaigns!$A$2:$A$3,"",0)</f>
        <v>Sankranti</v>
      </c>
      <c r="J1371" s="6">
        <f t="shared" si="42"/>
        <v>1.6721311475409837</v>
      </c>
      <c r="K1371">
        <f t="shared" si="43"/>
        <v>169575</v>
      </c>
      <c r="L1371" t="str">
        <f>VLOOKUP($B1371,dim_stores!$A$1:$C$51,2,0)</f>
        <v>Mysuru</v>
      </c>
    </row>
    <row r="1372" spans="1:12" x14ac:dyDescent="0.3">
      <c r="A1372" t="s">
        <v>1360</v>
      </c>
      <c r="B1372" t="s">
        <v>95</v>
      </c>
      <c r="C1372" t="s">
        <v>15</v>
      </c>
      <c r="D1372" t="s">
        <v>32</v>
      </c>
      <c r="E1372">
        <v>65</v>
      </c>
      <c r="F1372" t="s">
        <v>12</v>
      </c>
      <c r="G1372">
        <v>140</v>
      </c>
      <c r="H1372">
        <v>186</v>
      </c>
      <c r="I1372" t="str">
        <f>_xlfn.XLOOKUP($C1372,dim_campaigns!$D$2:$D$3,dim_campaigns!$A$2:$A$3,"",0)</f>
        <v>Diwali</v>
      </c>
      <c r="J1372" s="6">
        <f t="shared" si="42"/>
        <v>0.32857142857142857</v>
      </c>
      <c r="K1372">
        <f t="shared" si="43"/>
        <v>15145</v>
      </c>
      <c r="L1372" t="str">
        <f>VLOOKUP($B1372,dim_stores!$A$1:$C$51,2,0)</f>
        <v>Hyderabad</v>
      </c>
    </row>
    <row r="1373" spans="1:12" x14ac:dyDescent="0.3">
      <c r="A1373" t="s">
        <v>1361</v>
      </c>
      <c r="B1373" t="s">
        <v>142</v>
      </c>
      <c r="C1373" t="s">
        <v>15</v>
      </c>
      <c r="D1373" t="s">
        <v>53</v>
      </c>
      <c r="E1373">
        <v>860</v>
      </c>
      <c r="F1373" t="s">
        <v>54</v>
      </c>
      <c r="G1373">
        <v>308</v>
      </c>
      <c r="H1373">
        <v>455</v>
      </c>
      <c r="I1373" t="str">
        <f>_xlfn.XLOOKUP($C1373,dim_campaigns!$D$2:$D$3,dim_campaigns!$A$2:$A$3,"",0)</f>
        <v>Diwali</v>
      </c>
      <c r="J1373" s="6">
        <f t="shared" si="42"/>
        <v>0.47727272727272729</v>
      </c>
      <c r="K1373">
        <f t="shared" si="43"/>
        <v>527051</v>
      </c>
      <c r="L1373" t="str">
        <f>VLOOKUP($B1373,dim_stores!$A$1:$C$51,2,0)</f>
        <v>Madurai</v>
      </c>
    </row>
    <row r="1374" spans="1:12" x14ac:dyDescent="0.3">
      <c r="A1374">
        <v>1507</v>
      </c>
      <c r="B1374" t="s">
        <v>75</v>
      </c>
      <c r="C1374" t="s">
        <v>15</v>
      </c>
      <c r="D1374" t="s">
        <v>85</v>
      </c>
      <c r="E1374">
        <v>110</v>
      </c>
      <c r="F1374" t="s">
        <v>12</v>
      </c>
      <c r="G1374">
        <v>57</v>
      </c>
      <c r="H1374">
        <v>61</v>
      </c>
      <c r="I1374" t="str">
        <f>_xlfn.XLOOKUP($C1374,dim_campaigns!$D$2:$D$3,dim_campaigns!$A$2:$A$3,"",0)</f>
        <v>Diwali</v>
      </c>
      <c r="J1374" s="6">
        <f t="shared" si="42"/>
        <v>7.0175438596491224E-2</v>
      </c>
      <c r="K1374">
        <f t="shared" si="43"/>
        <v>9625</v>
      </c>
      <c r="L1374" t="str">
        <f>VLOOKUP($B1374,dim_stores!$A$1:$C$51,2,0)</f>
        <v>Madurai</v>
      </c>
    </row>
    <row r="1375" spans="1:12" x14ac:dyDescent="0.3">
      <c r="A1375" t="s">
        <v>1362</v>
      </c>
      <c r="B1375" t="s">
        <v>84</v>
      </c>
      <c r="C1375" t="s">
        <v>15</v>
      </c>
      <c r="D1375" t="s">
        <v>43</v>
      </c>
      <c r="E1375">
        <v>415</v>
      </c>
      <c r="F1375" t="s">
        <v>17</v>
      </c>
      <c r="G1375">
        <v>101</v>
      </c>
      <c r="H1375">
        <v>79</v>
      </c>
      <c r="I1375" t="str">
        <f>_xlfn.XLOOKUP($C1375,dim_campaigns!$D$2:$D$3,dim_campaigns!$A$2:$A$3,"",0)</f>
        <v>Diwali</v>
      </c>
      <c r="J1375" s="6">
        <f t="shared" si="42"/>
        <v>-0.21782178217821782</v>
      </c>
      <c r="K1375">
        <f t="shared" si="43"/>
        <v>66503.75</v>
      </c>
      <c r="L1375" t="str">
        <f>VLOOKUP($B1375,dim_stores!$A$1:$C$51,2,0)</f>
        <v>Mysuru</v>
      </c>
    </row>
    <row r="1376" spans="1:12" x14ac:dyDescent="0.3">
      <c r="A1376" t="s">
        <v>1363</v>
      </c>
      <c r="B1376" t="s">
        <v>93</v>
      </c>
      <c r="C1376" t="s">
        <v>15</v>
      </c>
      <c r="D1376" t="s">
        <v>20</v>
      </c>
      <c r="E1376">
        <v>300</v>
      </c>
      <c r="F1376" t="s">
        <v>21</v>
      </c>
      <c r="G1376">
        <v>66</v>
      </c>
      <c r="H1376">
        <v>227</v>
      </c>
      <c r="I1376" t="str">
        <f>_xlfn.XLOOKUP($C1376,dim_campaigns!$D$2:$D$3,dim_campaigns!$A$2:$A$3,"",0)</f>
        <v>Diwali</v>
      </c>
      <c r="J1376" s="6">
        <f t="shared" si="42"/>
        <v>2.4393939393939394</v>
      </c>
      <c r="K1376">
        <f t="shared" si="43"/>
        <v>53850</v>
      </c>
      <c r="L1376" t="str">
        <f>VLOOKUP($B1376,dim_stores!$A$1:$C$51,2,0)</f>
        <v>Bengaluru</v>
      </c>
    </row>
    <row r="1377" spans="1:12" x14ac:dyDescent="0.3">
      <c r="A1377" s="1" t="s">
        <v>1364</v>
      </c>
      <c r="B1377" t="s">
        <v>139</v>
      </c>
      <c r="C1377" t="s">
        <v>15</v>
      </c>
      <c r="D1377" t="s">
        <v>53</v>
      </c>
      <c r="E1377">
        <v>860</v>
      </c>
      <c r="F1377" t="s">
        <v>54</v>
      </c>
      <c r="G1377">
        <v>274</v>
      </c>
      <c r="H1377">
        <v>334</v>
      </c>
      <c r="I1377" t="str">
        <f>_xlfn.XLOOKUP($C1377,dim_campaigns!$D$2:$D$3,dim_campaigns!$A$2:$A$3,"",0)</f>
        <v>Diwali</v>
      </c>
      <c r="J1377" s="6">
        <f t="shared" si="42"/>
        <v>0.21897810218978103</v>
      </c>
      <c r="K1377">
        <f t="shared" si="43"/>
        <v>428090.80000000005</v>
      </c>
      <c r="L1377" t="str">
        <f>VLOOKUP($B1377,dim_stores!$A$1:$C$51,2,0)</f>
        <v>Visakhapatnam</v>
      </c>
    </row>
    <row r="1378" spans="1:12" x14ac:dyDescent="0.3">
      <c r="A1378" t="s">
        <v>1365</v>
      </c>
      <c r="B1378" t="s">
        <v>91</v>
      </c>
      <c r="C1378" t="s">
        <v>10</v>
      </c>
      <c r="D1378" t="s">
        <v>35</v>
      </c>
      <c r="E1378">
        <v>350</v>
      </c>
      <c r="F1378" t="s">
        <v>21</v>
      </c>
      <c r="G1378">
        <v>133</v>
      </c>
      <c r="H1378">
        <v>337</v>
      </c>
      <c r="I1378" t="str">
        <f>_xlfn.XLOOKUP($C1378,dim_campaigns!$D$2:$D$3,dim_campaigns!$A$2:$A$3,"",0)</f>
        <v>Sankranti</v>
      </c>
      <c r="J1378" s="6">
        <f t="shared" si="42"/>
        <v>1.5338345864661653</v>
      </c>
      <c r="K1378">
        <f t="shared" si="43"/>
        <v>105525</v>
      </c>
      <c r="L1378" t="str">
        <f>VLOOKUP($B1378,dim_stores!$A$1:$C$51,2,0)</f>
        <v>Hyderabad</v>
      </c>
    </row>
    <row r="1379" spans="1:12" x14ac:dyDescent="0.3">
      <c r="A1379" t="s">
        <v>1366</v>
      </c>
      <c r="B1379" t="s">
        <v>19</v>
      </c>
      <c r="C1379" t="s">
        <v>10</v>
      </c>
      <c r="D1379" t="s">
        <v>48</v>
      </c>
      <c r="E1379">
        <v>62</v>
      </c>
      <c r="F1379" t="s">
        <v>12</v>
      </c>
      <c r="G1379">
        <v>31</v>
      </c>
      <c r="H1379">
        <v>43</v>
      </c>
      <c r="I1379" t="str">
        <f>_xlfn.XLOOKUP($C1379,dim_campaigns!$D$2:$D$3,dim_campaigns!$A$2:$A$3,"",0)</f>
        <v>Sankranti</v>
      </c>
      <c r="J1379" s="6">
        <f t="shared" si="42"/>
        <v>0.38709677419354838</v>
      </c>
      <c r="K1379">
        <f t="shared" si="43"/>
        <v>3255</v>
      </c>
      <c r="L1379" t="str">
        <f>VLOOKUP($B1379,dim_stores!$A$1:$C$51,2,0)</f>
        <v>Vijayawada</v>
      </c>
    </row>
    <row r="1380" spans="1:12" x14ac:dyDescent="0.3">
      <c r="A1380" t="s">
        <v>1367</v>
      </c>
      <c r="B1380" t="s">
        <v>110</v>
      </c>
      <c r="C1380" t="s">
        <v>15</v>
      </c>
      <c r="D1380" t="s">
        <v>53</v>
      </c>
      <c r="E1380">
        <v>860</v>
      </c>
      <c r="F1380" t="s">
        <v>54</v>
      </c>
      <c r="G1380">
        <v>308</v>
      </c>
      <c r="H1380">
        <v>452</v>
      </c>
      <c r="I1380" t="str">
        <f>_xlfn.XLOOKUP($C1380,dim_campaigns!$D$2:$D$3,dim_campaigns!$A$2:$A$3,"",0)</f>
        <v>Diwali</v>
      </c>
      <c r="J1380" s="6">
        <f t="shared" si="42"/>
        <v>0.46753246753246752</v>
      </c>
      <c r="K1380">
        <f t="shared" si="43"/>
        <v>525322.4</v>
      </c>
      <c r="L1380" t="str">
        <f>VLOOKUP($B1380,dim_stores!$A$1:$C$51,2,0)</f>
        <v>Chennai</v>
      </c>
    </row>
    <row r="1381" spans="1:12" x14ac:dyDescent="0.3">
      <c r="A1381" t="s">
        <v>1368</v>
      </c>
      <c r="B1381" t="s">
        <v>52</v>
      </c>
      <c r="C1381" t="s">
        <v>15</v>
      </c>
      <c r="D1381" t="s">
        <v>38</v>
      </c>
      <c r="E1381">
        <v>1190</v>
      </c>
      <c r="F1381" t="s">
        <v>21</v>
      </c>
      <c r="G1381">
        <v>50</v>
      </c>
      <c r="H1381">
        <v>152</v>
      </c>
      <c r="I1381" t="str">
        <f>_xlfn.XLOOKUP($C1381,dim_campaigns!$D$2:$D$3,dim_campaigns!$A$2:$A$3,"",0)</f>
        <v>Diwali</v>
      </c>
      <c r="J1381" s="6">
        <f t="shared" si="42"/>
        <v>2.04</v>
      </c>
      <c r="K1381">
        <f t="shared" si="43"/>
        <v>149940</v>
      </c>
      <c r="L1381" t="str">
        <f>VLOOKUP($B1381,dim_stores!$A$1:$C$51,2,0)</f>
        <v>Visakhapatnam</v>
      </c>
    </row>
    <row r="1382" spans="1:12" x14ac:dyDescent="0.3">
      <c r="A1382" t="s">
        <v>1369</v>
      </c>
      <c r="B1382" t="s">
        <v>93</v>
      </c>
      <c r="C1382" t="s">
        <v>10</v>
      </c>
      <c r="D1382" t="s">
        <v>11</v>
      </c>
      <c r="E1382">
        <v>190</v>
      </c>
      <c r="F1382" t="s">
        <v>12</v>
      </c>
      <c r="G1382">
        <v>43</v>
      </c>
      <c r="H1382">
        <v>63</v>
      </c>
      <c r="I1382" t="str">
        <f>_xlfn.XLOOKUP($C1382,dim_campaigns!$D$2:$D$3,dim_campaigns!$A$2:$A$3,"",0)</f>
        <v>Sankranti</v>
      </c>
      <c r="J1382" s="6">
        <f t="shared" si="42"/>
        <v>0.46511627906976744</v>
      </c>
      <c r="K1382">
        <f t="shared" si="43"/>
        <v>14155</v>
      </c>
      <c r="L1382" t="str">
        <f>VLOOKUP($B1382,dim_stores!$A$1:$C$51,2,0)</f>
        <v>Bengaluru</v>
      </c>
    </row>
    <row r="1383" spans="1:12" x14ac:dyDescent="0.3">
      <c r="A1383" t="s">
        <v>1370</v>
      </c>
      <c r="B1383" t="s">
        <v>45</v>
      </c>
      <c r="C1383" t="s">
        <v>10</v>
      </c>
      <c r="D1383" t="s">
        <v>28</v>
      </c>
      <c r="E1383">
        <v>55</v>
      </c>
      <c r="F1383" t="s">
        <v>17</v>
      </c>
      <c r="G1383">
        <v>33</v>
      </c>
      <c r="H1383">
        <v>27</v>
      </c>
      <c r="I1383" t="str">
        <f>_xlfn.XLOOKUP($C1383,dim_campaigns!$D$2:$D$3,dim_campaigns!$A$2:$A$3,"",0)</f>
        <v>Sankranti</v>
      </c>
      <c r="J1383" s="6">
        <f t="shared" si="42"/>
        <v>-0.18181818181818182</v>
      </c>
      <c r="K1383">
        <f t="shared" si="43"/>
        <v>2928.75</v>
      </c>
      <c r="L1383" t="str">
        <f>VLOOKUP($B1383,dim_stores!$A$1:$C$51,2,0)</f>
        <v>Hyderabad</v>
      </c>
    </row>
    <row r="1384" spans="1:12" x14ac:dyDescent="0.3">
      <c r="A1384" t="s">
        <v>1371</v>
      </c>
      <c r="B1384" t="s">
        <v>207</v>
      </c>
      <c r="C1384" t="s">
        <v>10</v>
      </c>
      <c r="D1384" t="s">
        <v>43</v>
      </c>
      <c r="E1384">
        <v>415</v>
      </c>
      <c r="F1384" t="s">
        <v>17</v>
      </c>
      <c r="G1384">
        <v>42</v>
      </c>
      <c r="H1384">
        <v>34</v>
      </c>
      <c r="I1384" t="str">
        <f>_xlfn.XLOOKUP($C1384,dim_campaigns!$D$2:$D$3,dim_campaigns!$A$2:$A$3,"",0)</f>
        <v>Sankranti</v>
      </c>
      <c r="J1384" s="6">
        <f t="shared" si="42"/>
        <v>-0.19047619047619047</v>
      </c>
      <c r="K1384">
        <f t="shared" si="43"/>
        <v>28012.5</v>
      </c>
      <c r="L1384" t="str">
        <f>VLOOKUP($B1384,dim_stores!$A$1:$C$51,2,0)</f>
        <v>Hyderabad</v>
      </c>
    </row>
    <row r="1385" spans="1:12" x14ac:dyDescent="0.3">
      <c r="A1385">
        <v>930325</v>
      </c>
      <c r="B1385" t="s">
        <v>60</v>
      </c>
      <c r="C1385" t="s">
        <v>10</v>
      </c>
      <c r="D1385" t="s">
        <v>85</v>
      </c>
      <c r="E1385">
        <v>90</v>
      </c>
      <c r="F1385" t="s">
        <v>17</v>
      </c>
      <c r="G1385">
        <v>31</v>
      </c>
      <c r="H1385">
        <v>28</v>
      </c>
      <c r="I1385" t="str">
        <f>_xlfn.XLOOKUP($C1385,dim_campaigns!$D$2:$D$3,dim_campaigns!$A$2:$A$3,"",0)</f>
        <v>Sankranti</v>
      </c>
      <c r="J1385" s="6">
        <f t="shared" si="42"/>
        <v>-9.6774193548387094E-2</v>
      </c>
      <c r="K1385">
        <f t="shared" si="43"/>
        <v>4680</v>
      </c>
      <c r="L1385" t="str">
        <f>VLOOKUP($B1385,dim_stores!$A$1:$C$51,2,0)</f>
        <v>Trivandrum</v>
      </c>
    </row>
    <row r="1386" spans="1:12" x14ac:dyDescent="0.3">
      <c r="A1386" t="s">
        <v>1372</v>
      </c>
      <c r="B1386" t="s">
        <v>81</v>
      </c>
      <c r="C1386" t="s">
        <v>10</v>
      </c>
      <c r="D1386" t="s">
        <v>61</v>
      </c>
      <c r="E1386">
        <v>172</v>
      </c>
      <c r="F1386" t="s">
        <v>54</v>
      </c>
      <c r="G1386">
        <v>219</v>
      </c>
      <c r="H1386">
        <v>304</v>
      </c>
      <c r="I1386" t="str">
        <f>_xlfn.XLOOKUP($C1386,dim_campaigns!$D$2:$D$3,dim_campaigns!$A$2:$A$3,"",0)</f>
        <v>Sankranti</v>
      </c>
      <c r="J1386" s="6">
        <f t="shared" si="42"/>
        <v>0.38812785388127852</v>
      </c>
      <c r="K1386">
        <f t="shared" si="43"/>
        <v>72700.959999999992</v>
      </c>
      <c r="L1386" t="str">
        <f>VLOOKUP($B1386,dim_stores!$A$1:$C$51,2,0)</f>
        <v>Madurai</v>
      </c>
    </row>
    <row r="1387" spans="1:12" x14ac:dyDescent="0.3">
      <c r="A1387" t="s">
        <v>1373</v>
      </c>
      <c r="B1387" t="s">
        <v>207</v>
      </c>
      <c r="C1387" t="s">
        <v>10</v>
      </c>
      <c r="D1387" t="s">
        <v>35</v>
      </c>
      <c r="E1387">
        <v>350</v>
      </c>
      <c r="F1387" t="s">
        <v>21</v>
      </c>
      <c r="G1387">
        <v>132</v>
      </c>
      <c r="H1387">
        <v>520</v>
      </c>
      <c r="I1387" t="str">
        <f>_xlfn.XLOOKUP($C1387,dim_campaigns!$D$2:$D$3,dim_campaigns!$A$2:$A$3,"",0)</f>
        <v>Sankranti</v>
      </c>
      <c r="J1387" s="6">
        <f t="shared" si="42"/>
        <v>2.9393939393939394</v>
      </c>
      <c r="K1387">
        <f t="shared" si="43"/>
        <v>137200</v>
      </c>
      <c r="L1387" t="str">
        <f>VLOOKUP($B1387,dim_stores!$A$1:$C$51,2,0)</f>
        <v>Hyderabad</v>
      </c>
    </row>
    <row r="1388" spans="1:12" x14ac:dyDescent="0.3">
      <c r="A1388" t="s">
        <v>1374</v>
      </c>
      <c r="B1388" t="s">
        <v>31</v>
      </c>
      <c r="C1388" t="s">
        <v>15</v>
      </c>
      <c r="D1388" t="s">
        <v>43</v>
      </c>
      <c r="E1388">
        <v>415</v>
      </c>
      <c r="F1388" t="s">
        <v>17</v>
      </c>
      <c r="G1388">
        <v>78</v>
      </c>
      <c r="H1388">
        <v>69</v>
      </c>
      <c r="I1388" t="str">
        <f>_xlfn.XLOOKUP($C1388,dim_campaigns!$D$2:$D$3,dim_campaigns!$A$2:$A$3,"",0)</f>
        <v>Diwali</v>
      </c>
      <c r="J1388" s="6">
        <f t="shared" si="42"/>
        <v>-0.11538461538461539</v>
      </c>
      <c r="K1388">
        <f t="shared" si="43"/>
        <v>53846.25</v>
      </c>
      <c r="L1388" t="str">
        <f>VLOOKUP($B1388,dim_stores!$A$1:$C$51,2,0)</f>
        <v>Visakhapatnam</v>
      </c>
    </row>
    <row r="1389" spans="1:12" x14ac:dyDescent="0.3">
      <c r="A1389" t="s">
        <v>1375</v>
      </c>
      <c r="B1389" t="s">
        <v>95</v>
      </c>
      <c r="C1389" t="s">
        <v>10</v>
      </c>
      <c r="D1389" t="s">
        <v>68</v>
      </c>
      <c r="E1389">
        <v>1020</v>
      </c>
      <c r="F1389" t="s">
        <v>21</v>
      </c>
      <c r="G1389">
        <v>118</v>
      </c>
      <c r="H1389">
        <v>459</v>
      </c>
      <c r="I1389" t="str">
        <f>_xlfn.XLOOKUP($C1389,dim_campaigns!$D$2:$D$3,dim_campaigns!$A$2:$A$3,"",0)</f>
        <v>Sankranti</v>
      </c>
      <c r="J1389" s="6">
        <f t="shared" si="42"/>
        <v>2.8898305084745761</v>
      </c>
      <c r="K1389">
        <f t="shared" si="43"/>
        <v>354450</v>
      </c>
      <c r="L1389" t="str">
        <f>VLOOKUP($B1389,dim_stores!$A$1:$C$51,2,0)</f>
        <v>Hyderabad</v>
      </c>
    </row>
    <row r="1390" spans="1:12" x14ac:dyDescent="0.3">
      <c r="A1390" t="s">
        <v>1376</v>
      </c>
      <c r="B1390" t="s">
        <v>45</v>
      </c>
      <c r="C1390" t="s">
        <v>10</v>
      </c>
      <c r="D1390" t="s">
        <v>32</v>
      </c>
      <c r="E1390">
        <v>50</v>
      </c>
      <c r="F1390" t="s">
        <v>17</v>
      </c>
      <c r="G1390">
        <v>31</v>
      </c>
      <c r="H1390">
        <v>26</v>
      </c>
      <c r="I1390" t="str">
        <f>_xlfn.XLOOKUP($C1390,dim_campaigns!$D$2:$D$3,dim_campaigns!$A$2:$A$3,"",0)</f>
        <v>Sankranti</v>
      </c>
      <c r="J1390" s="6">
        <f t="shared" si="42"/>
        <v>-0.16129032258064516</v>
      </c>
      <c r="K1390">
        <f t="shared" si="43"/>
        <v>2525</v>
      </c>
      <c r="L1390" t="str">
        <f>VLOOKUP($B1390,dim_stores!$A$1:$C$51,2,0)</f>
        <v>Hyderabad</v>
      </c>
    </row>
    <row r="1391" spans="1:12" x14ac:dyDescent="0.3">
      <c r="A1391" t="s">
        <v>1377</v>
      </c>
      <c r="B1391" t="s">
        <v>161</v>
      </c>
      <c r="C1391" t="s">
        <v>10</v>
      </c>
      <c r="D1391" t="s">
        <v>68</v>
      </c>
      <c r="E1391">
        <v>1020</v>
      </c>
      <c r="F1391" t="s">
        <v>21</v>
      </c>
      <c r="G1391">
        <v>111</v>
      </c>
      <c r="H1391">
        <v>493</v>
      </c>
      <c r="I1391" t="str">
        <f>_xlfn.XLOOKUP($C1391,dim_campaigns!$D$2:$D$3,dim_campaigns!$A$2:$A$3,"",0)</f>
        <v>Sankranti</v>
      </c>
      <c r="J1391" s="6">
        <f t="shared" si="42"/>
        <v>3.4414414414414414</v>
      </c>
      <c r="K1391">
        <f t="shared" si="43"/>
        <v>364650</v>
      </c>
      <c r="L1391" t="str">
        <f>VLOOKUP($B1391,dim_stores!$A$1:$C$51,2,0)</f>
        <v>Chennai</v>
      </c>
    </row>
    <row r="1392" spans="1:12" x14ac:dyDescent="0.3">
      <c r="A1392" t="s">
        <v>1378</v>
      </c>
      <c r="B1392" t="s">
        <v>193</v>
      </c>
      <c r="C1392" t="s">
        <v>15</v>
      </c>
      <c r="D1392" t="s">
        <v>28</v>
      </c>
      <c r="E1392">
        <v>55</v>
      </c>
      <c r="F1392" t="s">
        <v>17</v>
      </c>
      <c r="G1392">
        <v>115</v>
      </c>
      <c r="H1392">
        <v>101</v>
      </c>
      <c r="I1392" t="str">
        <f>_xlfn.XLOOKUP($C1392,dim_campaigns!$D$2:$D$3,dim_campaigns!$A$2:$A$3,"",0)</f>
        <v>Diwali</v>
      </c>
      <c r="J1392" s="6">
        <f t="shared" si="42"/>
        <v>-0.12173913043478261</v>
      </c>
      <c r="K1392">
        <f t="shared" si="43"/>
        <v>10491.25</v>
      </c>
      <c r="L1392" t="str">
        <f>VLOOKUP($B1392,dim_stores!$A$1:$C$51,2,0)</f>
        <v>Bengaluru</v>
      </c>
    </row>
    <row r="1393" spans="1:12" x14ac:dyDescent="0.3">
      <c r="A1393" t="s">
        <v>1379</v>
      </c>
      <c r="B1393" t="s">
        <v>78</v>
      </c>
      <c r="C1393" t="s">
        <v>10</v>
      </c>
      <c r="D1393" t="s">
        <v>51</v>
      </c>
      <c r="E1393">
        <v>370</v>
      </c>
      <c r="F1393" t="s">
        <v>21</v>
      </c>
      <c r="G1393">
        <v>418</v>
      </c>
      <c r="H1393">
        <v>1116</v>
      </c>
      <c r="I1393" t="str">
        <f>_xlfn.XLOOKUP($C1393,dim_campaigns!$D$2:$D$3,dim_campaigns!$A$2:$A$3,"",0)</f>
        <v>Sankranti</v>
      </c>
      <c r="J1393" s="6">
        <f t="shared" si="42"/>
        <v>1.6698564593301435</v>
      </c>
      <c r="K1393">
        <f t="shared" si="43"/>
        <v>361120</v>
      </c>
      <c r="L1393" t="str">
        <f>VLOOKUP($B1393,dim_stores!$A$1:$C$51,2,0)</f>
        <v>Mysuru</v>
      </c>
    </row>
    <row r="1394" spans="1:12" x14ac:dyDescent="0.3">
      <c r="A1394" t="s">
        <v>1380</v>
      </c>
      <c r="B1394" t="s">
        <v>78</v>
      </c>
      <c r="C1394" t="s">
        <v>15</v>
      </c>
      <c r="D1394" t="s">
        <v>48</v>
      </c>
      <c r="E1394">
        <v>62</v>
      </c>
      <c r="F1394" t="s">
        <v>12</v>
      </c>
      <c r="G1394">
        <v>98</v>
      </c>
      <c r="H1394">
        <v>128</v>
      </c>
      <c r="I1394" t="str">
        <f>_xlfn.XLOOKUP($C1394,dim_campaigns!$D$2:$D$3,dim_campaigns!$A$2:$A$3,"",0)</f>
        <v>Diwali</v>
      </c>
      <c r="J1394" s="6">
        <f t="shared" si="42"/>
        <v>0.30612244897959184</v>
      </c>
      <c r="K1394">
        <f t="shared" si="43"/>
        <v>10044</v>
      </c>
      <c r="L1394" t="str">
        <f>VLOOKUP($B1394,dim_stores!$A$1:$C$51,2,0)</f>
        <v>Mysuru</v>
      </c>
    </row>
    <row r="1395" spans="1:12" x14ac:dyDescent="0.3">
      <c r="A1395" t="s">
        <v>1381</v>
      </c>
      <c r="B1395" t="s">
        <v>23</v>
      </c>
      <c r="C1395" t="s">
        <v>10</v>
      </c>
      <c r="D1395" t="s">
        <v>68</v>
      </c>
      <c r="E1395">
        <v>1020</v>
      </c>
      <c r="F1395" t="s">
        <v>21</v>
      </c>
      <c r="G1395">
        <v>78</v>
      </c>
      <c r="H1395">
        <v>310</v>
      </c>
      <c r="I1395" t="str">
        <f>_xlfn.XLOOKUP($C1395,dim_campaigns!$D$2:$D$3,dim_campaigns!$A$2:$A$3,"",0)</f>
        <v>Sankranti</v>
      </c>
      <c r="J1395" s="6">
        <f t="shared" si="42"/>
        <v>2.9743589743589745</v>
      </c>
      <c r="K1395">
        <f t="shared" si="43"/>
        <v>237660</v>
      </c>
      <c r="L1395" t="str">
        <f>VLOOKUP($B1395,dim_stores!$A$1:$C$51,2,0)</f>
        <v>Coimbatore</v>
      </c>
    </row>
    <row r="1396" spans="1:12" x14ac:dyDescent="0.3">
      <c r="A1396" t="s">
        <v>1382</v>
      </c>
      <c r="B1396" t="s">
        <v>84</v>
      </c>
      <c r="C1396" t="s">
        <v>10</v>
      </c>
      <c r="D1396" t="s">
        <v>51</v>
      </c>
      <c r="E1396">
        <v>370</v>
      </c>
      <c r="F1396" t="s">
        <v>21</v>
      </c>
      <c r="G1396">
        <v>450</v>
      </c>
      <c r="H1396">
        <v>1984</v>
      </c>
      <c r="I1396" t="str">
        <f>_xlfn.XLOOKUP($C1396,dim_campaigns!$D$2:$D$3,dim_campaigns!$A$2:$A$3,"",0)</f>
        <v>Sankranti</v>
      </c>
      <c r="J1396" s="6">
        <f t="shared" si="42"/>
        <v>3.4088888888888889</v>
      </c>
      <c r="K1396">
        <f t="shared" si="43"/>
        <v>533540</v>
      </c>
      <c r="L1396" t="str">
        <f>VLOOKUP($B1396,dim_stores!$A$1:$C$51,2,0)</f>
        <v>Mysuru</v>
      </c>
    </row>
    <row r="1397" spans="1:12" x14ac:dyDescent="0.3">
      <c r="A1397" t="s">
        <v>1383</v>
      </c>
      <c r="B1397" t="s">
        <v>119</v>
      </c>
      <c r="C1397" t="s">
        <v>15</v>
      </c>
      <c r="D1397" t="s">
        <v>35</v>
      </c>
      <c r="E1397">
        <v>350</v>
      </c>
      <c r="F1397" t="s">
        <v>21</v>
      </c>
      <c r="G1397">
        <v>82</v>
      </c>
      <c r="H1397">
        <v>328</v>
      </c>
      <c r="I1397" t="str">
        <f>_xlfn.XLOOKUP($C1397,dim_campaigns!$D$2:$D$3,dim_campaigns!$A$2:$A$3,"",0)</f>
        <v>Diwali</v>
      </c>
      <c r="J1397" s="6">
        <f t="shared" si="42"/>
        <v>3</v>
      </c>
      <c r="K1397">
        <f t="shared" si="43"/>
        <v>86100</v>
      </c>
      <c r="L1397" t="str">
        <f>VLOOKUP($B1397,dim_stores!$A$1:$C$51,2,0)</f>
        <v>Chennai</v>
      </c>
    </row>
    <row r="1398" spans="1:12" x14ac:dyDescent="0.3">
      <c r="A1398" t="s">
        <v>1384</v>
      </c>
      <c r="B1398" t="s">
        <v>113</v>
      </c>
      <c r="C1398" t="s">
        <v>15</v>
      </c>
      <c r="D1398" t="s">
        <v>32</v>
      </c>
      <c r="E1398">
        <v>65</v>
      </c>
      <c r="F1398" t="s">
        <v>12</v>
      </c>
      <c r="G1398">
        <v>127</v>
      </c>
      <c r="H1398">
        <v>133</v>
      </c>
      <c r="I1398" t="str">
        <f>_xlfn.XLOOKUP($C1398,dim_campaigns!$D$2:$D$3,dim_campaigns!$A$2:$A$3,"",0)</f>
        <v>Diwali</v>
      </c>
      <c r="J1398" s="6">
        <f t="shared" si="42"/>
        <v>4.7244094488188976E-2</v>
      </c>
      <c r="K1398">
        <f t="shared" si="43"/>
        <v>12577.5</v>
      </c>
      <c r="L1398" t="str">
        <f>VLOOKUP($B1398,dim_stores!$A$1:$C$51,2,0)</f>
        <v>Chennai</v>
      </c>
    </row>
    <row r="1399" spans="1:12" x14ac:dyDescent="0.3">
      <c r="A1399" s="1">
        <v>5.4000000000000001E+190</v>
      </c>
      <c r="B1399" t="s">
        <v>67</v>
      </c>
      <c r="C1399" t="s">
        <v>15</v>
      </c>
      <c r="D1399" t="s">
        <v>53</v>
      </c>
      <c r="E1399">
        <v>860</v>
      </c>
      <c r="F1399" t="s">
        <v>54</v>
      </c>
      <c r="G1399">
        <v>362</v>
      </c>
      <c r="H1399">
        <v>535</v>
      </c>
      <c r="I1399" t="str">
        <f>_xlfn.XLOOKUP($C1399,dim_campaigns!$D$2:$D$3,dim_campaigns!$A$2:$A$3,"",0)</f>
        <v>Diwali</v>
      </c>
      <c r="J1399" s="6">
        <f t="shared" si="42"/>
        <v>0.47790055248618785</v>
      </c>
      <c r="K1399">
        <f t="shared" si="43"/>
        <v>619587</v>
      </c>
      <c r="L1399" t="str">
        <f>VLOOKUP($B1399,dim_stores!$A$1:$C$51,2,0)</f>
        <v>Bengaluru</v>
      </c>
    </row>
    <row r="1400" spans="1:12" x14ac:dyDescent="0.3">
      <c r="A1400" t="s">
        <v>1385</v>
      </c>
      <c r="B1400" t="s">
        <v>78</v>
      </c>
      <c r="C1400" t="s">
        <v>15</v>
      </c>
      <c r="D1400" t="s">
        <v>61</v>
      </c>
      <c r="E1400">
        <v>172</v>
      </c>
      <c r="F1400" t="s">
        <v>54</v>
      </c>
      <c r="G1400">
        <v>301</v>
      </c>
      <c r="H1400">
        <v>433</v>
      </c>
      <c r="I1400" t="str">
        <f>_xlfn.XLOOKUP($C1400,dim_campaigns!$D$2:$D$3,dim_campaigns!$A$2:$A$3,"",0)</f>
        <v>Diwali</v>
      </c>
      <c r="J1400" s="6">
        <f t="shared" si="42"/>
        <v>0.43853820598006643</v>
      </c>
      <c r="K1400">
        <f t="shared" si="43"/>
        <v>101670.92</v>
      </c>
      <c r="L1400" t="str">
        <f>VLOOKUP($B1400,dim_stores!$A$1:$C$51,2,0)</f>
        <v>Mysuru</v>
      </c>
    </row>
    <row r="1401" spans="1:12" x14ac:dyDescent="0.3">
      <c r="A1401" t="s">
        <v>1386</v>
      </c>
      <c r="B1401" t="s">
        <v>84</v>
      </c>
      <c r="C1401" t="s">
        <v>15</v>
      </c>
      <c r="D1401" t="s">
        <v>20</v>
      </c>
      <c r="E1401">
        <v>300</v>
      </c>
      <c r="F1401" t="s">
        <v>21</v>
      </c>
      <c r="G1401">
        <v>54</v>
      </c>
      <c r="H1401">
        <v>219</v>
      </c>
      <c r="I1401" t="str">
        <f>_xlfn.XLOOKUP($C1401,dim_campaigns!$D$2:$D$3,dim_campaigns!$A$2:$A$3,"",0)</f>
        <v>Diwali</v>
      </c>
      <c r="J1401" s="6">
        <f t="shared" si="42"/>
        <v>3.0555555555555554</v>
      </c>
      <c r="K1401">
        <f t="shared" si="43"/>
        <v>49050</v>
      </c>
      <c r="L1401" t="str">
        <f>VLOOKUP($B1401,dim_stores!$A$1:$C$51,2,0)</f>
        <v>Mysuru</v>
      </c>
    </row>
    <row r="1402" spans="1:12" x14ac:dyDescent="0.3">
      <c r="A1402" t="s">
        <v>1387</v>
      </c>
      <c r="B1402" t="s">
        <v>99</v>
      </c>
      <c r="C1402" t="s">
        <v>10</v>
      </c>
      <c r="D1402" t="s">
        <v>61</v>
      </c>
      <c r="E1402">
        <v>172</v>
      </c>
      <c r="F1402" t="s">
        <v>54</v>
      </c>
      <c r="G1402">
        <v>240</v>
      </c>
      <c r="H1402">
        <v>355</v>
      </c>
      <c r="I1402" t="str">
        <f>_xlfn.XLOOKUP($C1402,dim_campaigns!$D$2:$D$3,dim_campaigns!$A$2:$A$3,"",0)</f>
        <v>Sankranti</v>
      </c>
      <c r="J1402" s="6">
        <f t="shared" si="42"/>
        <v>0.47916666666666669</v>
      </c>
      <c r="K1402">
        <f t="shared" si="43"/>
        <v>82190.2</v>
      </c>
      <c r="L1402" t="str">
        <f>VLOOKUP($B1402,dim_stores!$A$1:$C$51,2,0)</f>
        <v>Coimbatore</v>
      </c>
    </row>
    <row r="1403" spans="1:12" x14ac:dyDescent="0.3">
      <c r="A1403">
        <v>793873</v>
      </c>
      <c r="B1403" t="s">
        <v>31</v>
      </c>
      <c r="C1403" t="s">
        <v>15</v>
      </c>
      <c r="D1403" t="s">
        <v>16</v>
      </c>
      <c r="E1403">
        <v>156</v>
      </c>
      <c r="F1403" t="s">
        <v>17</v>
      </c>
      <c r="G1403">
        <v>248</v>
      </c>
      <c r="H1403">
        <v>225</v>
      </c>
      <c r="I1403" t="str">
        <f>_xlfn.XLOOKUP($C1403,dim_campaigns!$D$2:$D$3,dim_campaigns!$A$2:$A$3,"",0)</f>
        <v>Diwali</v>
      </c>
      <c r="J1403" s="6">
        <f t="shared" si="42"/>
        <v>-9.2741935483870969E-2</v>
      </c>
      <c r="K1403">
        <f t="shared" si="43"/>
        <v>65013</v>
      </c>
      <c r="L1403" t="str">
        <f>VLOOKUP($B1403,dim_stores!$A$1:$C$51,2,0)</f>
        <v>Visakhapatnam</v>
      </c>
    </row>
    <row r="1404" spans="1:12" x14ac:dyDescent="0.3">
      <c r="A1404" t="s">
        <v>1388</v>
      </c>
      <c r="B1404" t="s">
        <v>137</v>
      </c>
      <c r="C1404" t="s">
        <v>15</v>
      </c>
      <c r="D1404" t="s">
        <v>24</v>
      </c>
      <c r="E1404">
        <v>3000</v>
      </c>
      <c r="F1404" t="s">
        <v>25</v>
      </c>
      <c r="G1404">
        <v>217</v>
      </c>
      <c r="H1404">
        <v>659</v>
      </c>
      <c r="I1404" t="str">
        <f>_xlfn.XLOOKUP($C1404,dim_campaigns!$D$2:$D$3,dim_campaigns!$A$2:$A$3,"",0)</f>
        <v>Diwali</v>
      </c>
      <c r="J1404" s="6">
        <f t="shared" si="42"/>
        <v>2.0368663594470044</v>
      </c>
      <c r="K1404">
        <f t="shared" si="43"/>
        <v>2298500</v>
      </c>
      <c r="L1404" t="str">
        <f>VLOOKUP($B1404,dim_stores!$A$1:$C$51,2,0)</f>
        <v>Mangalore</v>
      </c>
    </row>
    <row r="1405" spans="1:12" x14ac:dyDescent="0.3">
      <c r="A1405" t="s">
        <v>1389</v>
      </c>
      <c r="B1405" t="s">
        <v>107</v>
      </c>
      <c r="C1405" t="s">
        <v>10</v>
      </c>
      <c r="D1405" t="s">
        <v>61</v>
      </c>
      <c r="E1405">
        <v>172</v>
      </c>
      <c r="F1405" t="s">
        <v>54</v>
      </c>
      <c r="G1405">
        <v>244</v>
      </c>
      <c r="H1405">
        <v>368</v>
      </c>
      <c r="I1405" t="str">
        <f>_xlfn.XLOOKUP($C1405,dim_campaigns!$D$2:$D$3,dim_campaigns!$A$2:$A$3,"",0)</f>
        <v>Sankranti</v>
      </c>
      <c r="J1405" s="6">
        <f t="shared" si="42"/>
        <v>0.50819672131147542</v>
      </c>
      <c r="K1405">
        <f t="shared" si="43"/>
        <v>84376.320000000007</v>
      </c>
      <c r="L1405" t="str">
        <f>VLOOKUP($B1405,dim_stores!$A$1:$C$51,2,0)</f>
        <v>Coimbatore</v>
      </c>
    </row>
    <row r="1406" spans="1:12" x14ac:dyDescent="0.3">
      <c r="A1406">
        <v>434698</v>
      </c>
      <c r="B1406" t="s">
        <v>190</v>
      </c>
      <c r="C1406" t="s">
        <v>10</v>
      </c>
      <c r="D1406" t="s">
        <v>48</v>
      </c>
      <c r="E1406">
        <v>62</v>
      </c>
      <c r="F1406" t="s">
        <v>12</v>
      </c>
      <c r="G1406">
        <v>39</v>
      </c>
      <c r="H1406">
        <v>63</v>
      </c>
      <c r="I1406" t="str">
        <f>_xlfn.XLOOKUP($C1406,dim_campaigns!$D$2:$D$3,dim_campaigns!$A$2:$A$3,"",0)</f>
        <v>Sankranti</v>
      </c>
      <c r="J1406" s="6">
        <f t="shared" si="42"/>
        <v>0.61538461538461542</v>
      </c>
      <c r="K1406">
        <f t="shared" si="43"/>
        <v>4371</v>
      </c>
      <c r="L1406" t="str">
        <f>VLOOKUP($B1406,dim_stores!$A$1:$C$51,2,0)</f>
        <v>Visakhapatnam</v>
      </c>
    </row>
    <row r="1407" spans="1:12" x14ac:dyDescent="0.3">
      <c r="A1407" t="s">
        <v>1390</v>
      </c>
      <c r="B1407" t="s">
        <v>137</v>
      </c>
      <c r="C1407" t="s">
        <v>10</v>
      </c>
      <c r="D1407" t="s">
        <v>68</v>
      </c>
      <c r="E1407">
        <v>1020</v>
      </c>
      <c r="F1407" t="s">
        <v>21</v>
      </c>
      <c r="G1407">
        <v>61</v>
      </c>
      <c r="H1407">
        <v>243</v>
      </c>
      <c r="I1407" t="str">
        <f>_xlfn.XLOOKUP($C1407,dim_campaigns!$D$2:$D$3,dim_campaigns!$A$2:$A$3,"",0)</f>
        <v>Sankranti</v>
      </c>
      <c r="J1407" s="6">
        <f t="shared" si="42"/>
        <v>2.9836065573770494</v>
      </c>
      <c r="K1407">
        <f t="shared" si="43"/>
        <v>186150</v>
      </c>
      <c r="L1407" t="str">
        <f>VLOOKUP($B1407,dim_stores!$A$1:$C$51,2,0)</f>
        <v>Mangalore</v>
      </c>
    </row>
    <row r="1408" spans="1:12" x14ac:dyDescent="0.3">
      <c r="A1408" t="s">
        <v>1391</v>
      </c>
      <c r="B1408" t="s">
        <v>56</v>
      </c>
      <c r="C1408" t="s">
        <v>10</v>
      </c>
      <c r="D1408" t="s">
        <v>85</v>
      </c>
      <c r="E1408">
        <v>90</v>
      </c>
      <c r="F1408" t="s">
        <v>17</v>
      </c>
      <c r="G1408">
        <v>54</v>
      </c>
      <c r="H1408">
        <v>50</v>
      </c>
      <c r="I1408" t="str">
        <f>_xlfn.XLOOKUP($C1408,dim_campaigns!$D$2:$D$3,dim_campaigns!$A$2:$A$3,"",0)</f>
        <v>Sankranti</v>
      </c>
      <c r="J1408" s="6">
        <f t="shared" si="42"/>
        <v>-7.407407407407407E-2</v>
      </c>
      <c r="K1408">
        <f t="shared" si="43"/>
        <v>8235</v>
      </c>
      <c r="L1408" t="str">
        <f>VLOOKUP($B1408,dim_stores!$A$1:$C$51,2,0)</f>
        <v>Chennai</v>
      </c>
    </row>
    <row r="1409" spans="1:12" x14ac:dyDescent="0.3">
      <c r="A1409" t="s">
        <v>1392</v>
      </c>
      <c r="B1409" t="s">
        <v>142</v>
      </c>
      <c r="C1409" t="s">
        <v>10</v>
      </c>
      <c r="D1409" t="s">
        <v>51</v>
      </c>
      <c r="E1409">
        <v>370</v>
      </c>
      <c r="F1409" t="s">
        <v>21</v>
      </c>
      <c r="G1409">
        <v>337</v>
      </c>
      <c r="H1409">
        <v>1337</v>
      </c>
      <c r="I1409" t="str">
        <f>_xlfn.XLOOKUP($C1409,dim_campaigns!$D$2:$D$3,dim_campaigns!$A$2:$A$3,"",0)</f>
        <v>Sankranti</v>
      </c>
      <c r="J1409" s="6">
        <f t="shared" si="42"/>
        <v>2.9673590504451037</v>
      </c>
      <c r="K1409">
        <f t="shared" si="43"/>
        <v>372035</v>
      </c>
      <c r="L1409" t="str">
        <f>VLOOKUP($B1409,dim_stores!$A$1:$C$51,2,0)</f>
        <v>Madurai</v>
      </c>
    </row>
    <row r="1410" spans="1:12" x14ac:dyDescent="0.3">
      <c r="A1410" t="s">
        <v>1393</v>
      </c>
      <c r="B1410" t="s">
        <v>139</v>
      </c>
      <c r="C1410" t="s">
        <v>15</v>
      </c>
      <c r="D1410" t="s">
        <v>20</v>
      </c>
      <c r="E1410">
        <v>300</v>
      </c>
      <c r="F1410" t="s">
        <v>21</v>
      </c>
      <c r="G1410">
        <v>36</v>
      </c>
      <c r="H1410">
        <v>108</v>
      </c>
      <c r="I1410" t="str">
        <f>_xlfn.XLOOKUP($C1410,dim_campaigns!$D$2:$D$3,dim_campaigns!$A$2:$A$3,"",0)</f>
        <v>Diwali</v>
      </c>
      <c r="J1410" s="6">
        <f t="shared" si="42"/>
        <v>2</v>
      </c>
      <c r="K1410">
        <f t="shared" si="43"/>
        <v>27000</v>
      </c>
      <c r="L1410" t="str">
        <f>VLOOKUP($B1410,dim_stores!$A$1:$C$51,2,0)</f>
        <v>Visakhapatnam</v>
      </c>
    </row>
    <row r="1411" spans="1:12" x14ac:dyDescent="0.3">
      <c r="A1411" t="s">
        <v>1394</v>
      </c>
      <c r="B1411" t="s">
        <v>161</v>
      </c>
      <c r="C1411" t="s">
        <v>10</v>
      </c>
      <c r="D1411" t="s">
        <v>16</v>
      </c>
      <c r="E1411">
        <v>200</v>
      </c>
      <c r="F1411" t="s">
        <v>21</v>
      </c>
      <c r="G1411">
        <v>448</v>
      </c>
      <c r="H1411">
        <v>1895</v>
      </c>
      <c r="I1411" t="str">
        <f>_xlfn.XLOOKUP($C1411,dim_campaigns!$D$2:$D$3,dim_campaigns!$A$2:$A$3,"",0)</f>
        <v>Sankranti</v>
      </c>
      <c r="J1411" s="6">
        <f t="shared" ref="J1411:J1474" si="44">IFERROR((H1411-G1411)/G1411,0)</f>
        <v>3.2299107142857144</v>
      </c>
      <c r="K1411">
        <f t="shared" ref="K1411:K1474" si="45">E1411*G1411+(E1411-IF(F1411="500 Cashback",500,IF(F1411="BOGOF",E1411*50%,IF(F1411="25% OFF",E1411*25%,IF(F1411="33% OFF",E1411*33%,IF(F1411="50% OFF",E1411*50%,0))))))*H1411</f>
        <v>279100</v>
      </c>
      <c r="L1411" t="str">
        <f>VLOOKUP($B1411,dim_stores!$A$1:$C$51,2,0)</f>
        <v>Chennai</v>
      </c>
    </row>
    <row r="1412" spans="1:12" x14ac:dyDescent="0.3">
      <c r="A1412" t="s">
        <v>1395</v>
      </c>
      <c r="B1412" t="s">
        <v>29</v>
      </c>
      <c r="C1412" t="s">
        <v>10</v>
      </c>
      <c r="D1412" t="s">
        <v>38</v>
      </c>
      <c r="E1412">
        <v>1190</v>
      </c>
      <c r="F1412" t="s">
        <v>21</v>
      </c>
      <c r="G1412">
        <v>39</v>
      </c>
      <c r="H1412">
        <v>156</v>
      </c>
      <c r="I1412" t="str">
        <f>_xlfn.XLOOKUP($C1412,dim_campaigns!$D$2:$D$3,dim_campaigns!$A$2:$A$3,"",0)</f>
        <v>Sankranti</v>
      </c>
      <c r="J1412" s="6">
        <f t="shared" si="44"/>
        <v>3</v>
      </c>
      <c r="K1412">
        <f t="shared" si="45"/>
        <v>139230</v>
      </c>
      <c r="L1412" t="str">
        <f>VLOOKUP($B1412,dim_stores!$A$1:$C$51,2,0)</f>
        <v>Bengaluru</v>
      </c>
    </row>
    <row r="1413" spans="1:12" x14ac:dyDescent="0.3">
      <c r="A1413" t="s">
        <v>1396</v>
      </c>
      <c r="B1413" t="s">
        <v>193</v>
      </c>
      <c r="C1413" t="s">
        <v>15</v>
      </c>
      <c r="D1413" t="s">
        <v>24</v>
      </c>
      <c r="E1413">
        <v>3000</v>
      </c>
      <c r="F1413" t="s">
        <v>25</v>
      </c>
      <c r="G1413">
        <v>318</v>
      </c>
      <c r="H1413">
        <v>915</v>
      </c>
      <c r="I1413" t="str">
        <f>_xlfn.XLOOKUP($C1413,dim_campaigns!$D$2:$D$3,dim_campaigns!$A$2:$A$3,"",0)</f>
        <v>Diwali</v>
      </c>
      <c r="J1413" s="6">
        <f t="shared" si="44"/>
        <v>1.8773584905660377</v>
      </c>
      <c r="K1413">
        <f t="shared" si="45"/>
        <v>3241500</v>
      </c>
      <c r="L1413" t="str">
        <f>VLOOKUP($B1413,dim_stores!$A$1:$C$51,2,0)</f>
        <v>Bengaluru</v>
      </c>
    </row>
    <row r="1414" spans="1:12" x14ac:dyDescent="0.3">
      <c r="A1414" t="s">
        <v>1397</v>
      </c>
      <c r="B1414" t="s">
        <v>29</v>
      </c>
      <c r="C1414" t="s">
        <v>15</v>
      </c>
      <c r="D1414" t="s">
        <v>53</v>
      </c>
      <c r="E1414">
        <v>860</v>
      </c>
      <c r="F1414" t="s">
        <v>54</v>
      </c>
      <c r="G1414">
        <v>357</v>
      </c>
      <c r="H1414">
        <v>549</v>
      </c>
      <c r="I1414" t="str">
        <f>_xlfn.XLOOKUP($C1414,dim_campaigns!$D$2:$D$3,dim_campaigns!$A$2:$A$3,"",0)</f>
        <v>Diwali</v>
      </c>
      <c r="J1414" s="6">
        <f t="shared" si="44"/>
        <v>0.53781512605042014</v>
      </c>
      <c r="K1414">
        <f t="shared" si="45"/>
        <v>623353.80000000005</v>
      </c>
      <c r="L1414" t="str">
        <f>VLOOKUP($B1414,dim_stores!$A$1:$C$51,2,0)</f>
        <v>Bengaluru</v>
      </c>
    </row>
    <row r="1415" spans="1:12" x14ac:dyDescent="0.3">
      <c r="A1415" t="s">
        <v>1398</v>
      </c>
      <c r="B1415" t="s">
        <v>207</v>
      </c>
      <c r="C1415" t="s">
        <v>15</v>
      </c>
      <c r="D1415" t="s">
        <v>20</v>
      </c>
      <c r="E1415">
        <v>300</v>
      </c>
      <c r="F1415" t="s">
        <v>21</v>
      </c>
      <c r="G1415">
        <v>52</v>
      </c>
      <c r="H1415">
        <v>173</v>
      </c>
      <c r="I1415" t="str">
        <f>_xlfn.XLOOKUP($C1415,dim_campaigns!$D$2:$D$3,dim_campaigns!$A$2:$A$3,"",0)</f>
        <v>Diwali</v>
      </c>
      <c r="J1415" s="6">
        <f t="shared" si="44"/>
        <v>2.3269230769230771</v>
      </c>
      <c r="K1415">
        <f t="shared" si="45"/>
        <v>41550</v>
      </c>
      <c r="L1415" t="str">
        <f>VLOOKUP($B1415,dim_stores!$A$1:$C$51,2,0)</f>
        <v>Hyderabad</v>
      </c>
    </row>
    <row r="1416" spans="1:12" x14ac:dyDescent="0.3">
      <c r="A1416" t="s">
        <v>1399</v>
      </c>
      <c r="B1416" t="s">
        <v>40</v>
      </c>
      <c r="C1416" t="s">
        <v>15</v>
      </c>
      <c r="D1416" t="s">
        <v>48</v>
      </c>
      <c r="E1416">
        <v>62</v>
      </c>
      <c r="F1416" t="s">
        <v>12</v>
      </c>
      <c r="G1416">
        <v>71</v>
      </c>
      <c r="H1416">
        <v>80</v>
      </c>
      <c r="I1416" t="str">
        <f>_xlfn.XLOOKUP($C1416,dim_campaigns!$D$2:$D$3,dim_campaigns!$A$2:$A$3,"",0)</f>
        <v>Diwali</v>
      </c>
      <c r="J1416" s="6">
        <f t="shared" si="44"/>
        <v>0.12676056338028169</v>
      </c>
      <c r="K1416">
        <f t="shared" si="45"/>
        <v>6882</v>
      </c>
      <c r="L1416" t="str">
        <f>VLOOKUP($B1416,dim_stores!$A$1:$C$51,2,0)</f>
        <v>Madurai</v>
      </c>
    </row>
    <row r="1417" spans="1:12" x14ac:dyDescent="0.3">
      <c r="A1417" t="s">
        <v>1400</v>
      </c>
      <c r="B1417" t="s">
        <v>117</v>
      </c>
      <c r="C1417" t="s">
        <v>10</v>
      </c>
      <c r="D1417" t="s">
        <v>20</v>
      </c>
      <c r="E1417">
        <v>300</v>
      </c>
      <c r="F1417" t="s">
        <v>21</v>
      </c>
      <c r="G1417">
        <v>30</v>
      </c>
      <c r="H1417">
        <v>120</v>
      </c>
      <c r="I1417" t="str">
        <f>_xlfn.XLOOKUP($C1417,dim_campaigns!$D$2:$D$3,dim_campaigns!$A$2:$A$3,"",0)</f>
        <v>Sankranti</v>
      </c>
      <c r="J1417" s="6">
        <f t="shared" si="44"/>
        <v>3</v>
      </c>
      <c r="K1417">
        <f t="shared" si="45"/>
        <v>27000</v>
      </c>
      <c r="L1417" t="str">
        <f>VLOOKUP($B1417,dim_stores!$A$1:$C$51,2,0)</f>
        <v>Mangalore</v>
      </c>
    </row>
    <row r="1418" spans="1:12" x14ac:dyDescent="0.3">
      <c r="A1418" t="s">
        <v>1401</v>
      </c>
      <c r="B1418" t="s">
        <v>23</v>
      </c>
      <c r="C1418" t="s">
        <v>15</v>
      </c>
      <c r="D1418" t="s">
        <v>11</v>
      </c>
      <c r="E1418">
        <v>190</v>
      </c>
      <c r="F1418" t="s">
        <v>12</v>
      </c>
      <c r="G1418">
        <v>61</v>
      </c>
      <c r="H1418">
        <v>65</v>
      </c>
      <c r="I1418" t="str">
        <f>_xlfn.XLOOKUP($C1418,dim_campaigns!$D$2:$D$3,dim_campaigns!$A$2:$A$3,"",0)</f>
        <v>Diwali</v>
      </c>
      <c r="J1418" s="6">
        <f t="shared" si="44"/>
        <v>6.5573770491803282E-2</v>
      </c>
      <c r="K1418">
        <f t="shared" si="45"/>
        <v>17765</v>
      </c>
      <c r="L1418" t="str">
        <f>VLOOKUP($B1418,dim_stores!$A$1:$C$51,2,0)</f>
        <v>Coimbatore</v>
      </c>
    </row>
    <row r="1419" spans="1:12" x14ac:dyDescent="0.3">
      <c r="A1419" t="s">
        <v>1402</v>
      </c>
      <c r="B1419" t="s">
        <v>29</v>
      </c>
      <c r="C1419" t="s">
        <v>10</v>
      </c>
      <c r="D1419" t="s">
        <v>85</v>
      </c>
      <c r="E1419">
        <v>90</v>
      </c>
      <c r="F1419" t="s">
        <v>17</v>
      </c>
      <c r="G1419">
        <v>66</v>
      </c>
      <c r="H1419">
        <v>56</v>
      </c>
      <c r="I1419" t="str">
        <f>_xlfn.XLOOKUP($C1419,dim_campaigns!$D$2:$D$3,dim_campaigns!$A$2:$A$3,"",0)</f>
        <v>Sankranti</v>
      </c>
      <c r="J1419" s="6">
        <f t="shared" si="44"/>
        <v>-0.15151515151515152</v>
      </c>
      <c r="K1419">
        <f t="shared" si="45"/>
        <v>9720</v>
      </c>
      <c r="L1419" t="str">
        <f>VLOOKUP($B1419,dim_stores!$A$1:$C$51,2,0)</f>
        <v>Bengaluru</v>
      </c>
    </row>
    <row r="1420" spans="1:12" x14ac:dyDescent="0.3">
      <c r="A1420" t="s">
        <v>1403</v>
      </c>
      <c r="B1420" t="s">
        <v>84</v>
      </c>
      <c r="C1420" t="s">
        <v>10</v>
      </c>
      <c r="D1420" t="s">
        <v>48</v>
      </c>
      <c r="E1420">
        <v>62</v>
      </c>
      <c r="F1420" t="s">
        <v>12</v>
      </c>
      <c r="G1420">
        <v>45</v>
      </c>
      <c r="H1420">
        <v>71</v>
      </c>
      <c r="I1420" t="str">
        <f>_xlfn.XLOOKUP($C1420,dim_campaigns!$D$2:$D$3,dim_campaigns!$A$2:$A$3,"",0)</f>
        <v>Sankranti</v>
      </c>
      <c r="J1420" s="6">
        <f t="shared" si="44"/>
        <v>0.57777777777777772</v>
      </c>
      <c r="K1420">
        <f t="shared" si="45"/>
        <v>4991</v>
      </c>
      <c r="L1420" t="str">
        <f>VLOOKUP($B1420,dim_stores!$A$1:$C$51,2,0)</f>
        <v>Mysuru</v>
      </c>
    </row>
    <row r="1421" spans="1:12" x14ac:dyDescent="0.3">
      <c r="A1421" t="s">
        <v>1404</v>
      </c>
      <c r="B1421" t="s">
        <v>137</v>
      </c>
      <c r="C1421" t="s">
        <v>15</v>
      </c>
      <c r="D1421" t="s">
        <v>16</v>
      </c>
      <c r="E1421">
        <v>156</v>
      </c>
      <c r="F1421" t="s">
        <v>17</v>
      </c>
      <c r="G1421">
        <v>204</v>
      </c>
      <c r="H1421">
        <v>175</v>
      </c>
      <c r="I1421" t="str">
        <f>_xlfn.XLOOKUP($C1421,dim_campaigns!$D$2:$D$3,dim_campaigns!$A$2:$A$3,"",0)</f>
        <v>Diwali</v>
      </c>
      <c r="J1421" s="6">
        <f t="shared" si="44"/>
        <v>-0.14215686274509803</v>
      </c>
      <c r="K1421">
        <f t="shared" si="45"/>
        <v>52299</v>
      </c>
      <c r="L1421" t="str">
        <f>VLOOKUP($B1421,dim_stores!$A$1:$C$51,2,0)</f>
        <v>Mangalore</v>
      </c>
    </row>
    <row r="1422" spans="1:12" x14ac:dyDescent="0.3">
      <c r="A1422" t="s">
        <v>1405</v>
      </c>
      <c r="B1422" t="s">
        <v>31</v>
      </c>
      <c r="C1422" t="s">
        <v>10</v>
      </c>
      <c r="D1422" t="s">
        <v>85</v>
      </c>
      <c r="E1422">
        <v>90</v>
      </c>
      <c r="F1422" t="s">
        <v>17</v>
      </c>
      <c r="G1422">
        <v>43</v>
      </c>
      <c r="H1422">
        <v>35</v>
      </c>
      <c r="I1422" t="str">
        <f>_xlfn.XLOOKUP($C1422,dim_campaigns!$D$2:$D$3,dim_campaigns!$A$2:$A$3,"",0)</f>
        <v>Sankranti</v>
      </c>
      <c r="J1422" s="6">
        <f t="shared" si="44"/>
        <v>-0.18604651162790697</v>
      </c>
      <c r="K1422">
        <f t="shared" si="45"/>
        <v>6232.5</v>
      </c>
      <c r="L1422" t="str">
        <f>VLOOKUP($B1422,dim_stores!$A$1:$C$51,2,0)</f>
        <v>Visakhapatnam</v>
      </c>
    </row>
    <row r="1423" spans="1:12" x14ac:dyDescent="0.3">
      <c r="A1423" t="s">
        <v>1406</v>
      </c>
      <c r="B1423" t="s">
        <v>115</v>
      </c>
      <c r="C1423" t="s">
        <v>15</v>
      </c>
      <c r="D1423" t="s">
        <v>53</v>
      </c>
      <c r="E1423">
        <v>860</v>
      </c>
      <c r="F1423" t="s">
        <v>54</v>
      </c>
      <c r="G1423">
        <v>337</v>
      </c>
      <c r="H1423">
        <v>488</v>
      </c>
      <c r="I1423" t="str">
        <f>_xlfn.XLOOKUP($C1423,dim_campaigns!$D$2:$D$3,dim_campaigns!$A$2:$A$3,"",0)</f>
        <v>Diwali</v>
      </c>
      <c r="J1423" s="6">
        <f t="shared" si="44"/>
        <v>0.44807121661721067</v>
      </c>
      <c r="K1423">
        <f t="shared" si="45"/>
        <v>571005.60000000009</v>
      </c>
      <c r="L1423" t="str">
        <f>VLOOKUP($B1423,dim_stores!$A$1:$C$51,2,0)</f>
        <v>Bengaluru</v>
      </c>
    </row>
    <row r="1424" spans="1:12" x14ac:dyDescent="0.3">
      <c r="A1424" t="s">
        <v>1407</v>
      </c>
      <c r="B1424" t="s">
        <v>117</v>
      </c>
      <c r="C1424" t="s">
        <v>10</v>
      </c>
      <c r="D1424" t="s">
        <v>32</v>
      </c>
      <c r="E1424">
        <v>50</v>
      </c>
      <c r="F1424" t="s">
        <v>17</v>
      </c>
      <c r="G1424">
        <v>13</v>
      </c>
      <c r="H1424">
        <v>10</v>
      </c>
      <c r="I1424" t="str">
        <f>_xlfn.XLOOKUP($C1424,dim_campaigns!$D$2:$D$3,dim_campaigns!$A$2:$A$3,"",0)</f>
        <v>Sankranti</v>
      </c>
      <c r="J1424" s="6">
        <f t="shared" si="44"/>
        <v>-0.23076923076923078</v>
      </c>
      <c r="K1424">
        <f t="shared" si="45"/>
        <v>1025</v>
      </c>
      <c r="L1424" t="str">
        <f>VLOOKUP($B1424,dim_stores!$A$1:$C$51,2,0)</f>
        <v>Mangalore</v>
      </c>
    </row>
    <row r="1425" spans="1:12" x14ac:dyDescent="0.3">
      <c r="A1425" t="s">
        <v>1408</v>
      </c>
      <c r="B1425" t="s">
        <v>119</v>
      </c>
      <c r="C1425" t="s">
        <v>10</v>
      </c>
      <c r="D1425" t="s">
        <v>35</v>
      </c>
      <c r="E1425">
        <v>350</v>
      </c>
      <c r="F1425" t="s">
        <v>21</v>
      </c>
      <c r="G1425">
        <v>122</v>
      </c>
      <c r="H1425">
        <v>529</v>
      </c>
      <c r="I1425" t="str">
        <f>_xlfn.XLOOKUP($C1425,dim_campaigns!$D$2:$D$3,dim_campaigns!$A$2:$A$3,"",0)</f>
        <v>Sankranti</v>
      </c>
      <c r="J1425" s="6">
        <f t="shared" si="44"/>
        <v>3.3360655737704916</v>
      </c>
      <c r="K1425">
        <f t="shared" si="45"/>
        <v>135275</v>
      </c>
      <c r="L1425" t="str">
        <f>VLOOKUP($B1425,dim_stores!$A$1:$C$51,2,0)</f>
        <v>Chennai</v>
      </c>
    </row>
    <row r="1426" spans="1:12" x14ac:dyDescent="0.3">
      <c r="A1426" t="s">
        <v>1409</v>
      </c>
      <c r="B1426" t="s">
        <v>193</v>
      </c>
      <c r="C1426" t="s">
        <v>15</v>
      </c>
      <c r="D1426" t="s">
        <v>51</v>
      </c>
      <c r="E1426">
        <v>290</v>
      </c>
      <c r="F1426" t="s">
        <v>17</v>
      </c>
      <c r="G1426">
        <v>350</v>
      </c>
      <c r="H1426">
        <v>304</v>
      </c>
      <c r="I1426" t="str">
        <f>_xlfn.XLOOKUP($C1426,dim_campaigns!$D$2:$D$3,dim_campaigns!$A$2:$A$3,"",0)</f>
        <v>Diwali</v>
      </c>
      <c r="J1426" s="6">
        <f t="shared" si="44"/>
        <v>-0.13142857142857142</v>
      </c>
      <c r="K1426">
        <f t="shared" si="45"/>
        <v>167620</v>
      </c>
      <c r="L1426" t="str">
        <f>VLOOKUP($B1426,dim_stores!$A$1:$C$51,2,0)</f>
        <v>Bengaluru</v>
      </c>
    </row>
    <row r="1427" spans="1:12" x14ac:dyDescent="0.3">
      <c r="A1427" t="s">
        <v>1410</v>
      </c>
      <c r="B1427" t="s">
        <v>81</v>
      </c>
      <c r="C1427" t="s">
        <v>10</v>
      </c>
      <c r="D1427" t="s">
        <v>20</v>
      </c>
      <c r="E1427">
        <v>300</v>
      </c>
      <c r="F1427" t="s">
        <v>21</v>
      </c>
      <c r="G1427">
        <v>31</v>
      </c>
      <c r="H1427">
        <v>130</v>
      </c>
      <c r="I1427" t="str">
        <f>_xlfn.XLOOKUP($C1427,dim_campaigns!$D$2:$D$3,dim_campaigns!$A$2:$A$3,"",0)</f>
        <v>Sankranti</v>
      </c>
      <c r="J1427" s="6">
        <f t="shared" si="44"/>
        <v>3.193548387096774</v>
      </c>
      <c r="K1427">
        <f t="shared" si="45"/>
        <v>28800</v>
      </c>
      <c r="L1427" t="str">
        <f>VLOOKUP($B1427,dim_stores!$A$1:$C$51,2,0)</f>
        <v>Madurai</v>
      </c>
    </row>
    <row r="1428" spans="1:12" x14ac:dyDescent="0.3">
      <c r="A1428" t="s">
        <v>1411</v>
      </c>
      <c r="B1428" t="s">
        <v>190</v>
      </c>
      <c r="C1428" t="s">
        <v>15</v>
      </c>
      <c r="D1428" t="s">
        <v>38</v>
      </c>
      <c r="E1428">
        <v>1190</v>
      </c>
      <c r="F1428" t="s">
        <v>21</v>
      </c>
      <c r="G1428">
        <v>42</v>
      </c>
      <c r="H1428">
        <v>145</v>
      </c>
      <c r="I1428" t="str">
        <f>_xlfn.XLOOKUP($C1428,dim_campaigns!$D$2:$D$3,dim_campaigns!$A$2:$A$3,"",0)</f>
        <v>Diwali</v>
      </c>
      <c r="J1428" s="6">
        <f t="shared" si="44"/>
        <v>2.4523809523809526</v>
      </c>
      <c r="K1428">
        <f t="shared" si="45"/>
        <v>136255</v>
      </c>
      <c r="L1428" t="str">
        <f>VLOOKUP($B1428,dim_stores!$A$1:$C$51,2,0)</f>
        <v>Visakhapatnam</v>
      </c>
    </row>
    <row r="1429" spans="1:12" x14ac:dyDescent="0.3">
      <c r="A1429" t="s">
        <v>1412</v>
      </c>
      <c r="B1429" t="s">
        <v>40</v>
      </c>
      <c r="C1429" t="s">
        <v>10</v>
      </c>
      <c r="D1429" t="s">
        <v>20</v>
      </c>
      <c r="E1429">
        <v>300</v>
      </c>
      <c r="F1429" t="s">
        <v>21</v>
      </c>
      <c r="G1429">
        <v>33</v>
      </c>
      <c r="H1429">
        <v>128</v>
      </c>
      <c r="I1429" t="str">
        <f>_xlfn.XLOOKUP($C1429,dim_campaigns!$D$2:$D$3,dim_campaigns!$A$2:$A$3,"",0)</f>
        <v>Sankranti</v>
      </c>
      <c r="J1429" s="6">
        <f t="shared" si="44"/>
        <v>2.8787878787878789</v>
      </c>
      <c r="K1429">
        <f t="shared" si="45"/>
        <v>29100</v>
      </c>
      <c r="L1429" t="str">
        <f>VLOOKUP($B1429,dim_stores!$A$1:$C$51,2,0)</f>
        <v>Madurai</v>
      </c>
    </row>
    <row r="1430" spans="1:12" x14ac:dyDescent="0.3">
      <c r="A1430" t="s">
        <v>1413</v>
      </c>
      <c r="B1430" t="s">
        <v>52</v>
      </c>
      <c r="C1430" t="s">
        <v>10</v>
      </c>
      <c r="D1430" t="s">
        <v>32</v>
      </c>
      <c r="E1430">
        <v>50</v>
      </c>
      <c r="F1430" t="s">
        <v>17</v>
      </c>
      <c r="G1430">
        <v>21</v>
      </c>
      <c r="H1430">
        <v>15</v>
      </c>
      <c r="I1430" t="str">
        <f>_xlfn.XLOOKUP($C1430,dim_campaigns!$D$2:$D$3,dim_campaigns!$A$2:$A$3,"",0)</f>
        <v>Sankranti</v>
      </c>
      <c r="J1430" s="6">
        <f t="shared" si="44"/>
        <v>-0.2857142857142857</v>
      </c>
      <c r="K1430">
        <f t="shared" si="45"/>
        <v>1612.5</v>
      </c>
      <c r="L1430" t="str">
        <f>VLOOKUP($B1430,dim_stores!$A$1:$C$51,2,0)</f>
        <v>Visakhapatnam</v>
      </c>
    </row>
    <row r="1431" spans="1:12" x14ac:dyDescent="0.3">
      <c r="A1431" t="s">
        <v>1414</v>
      </c>
      <c r="B1431" t="s">
        <v>99</v>
      </c>
      <c r="C1431" t="s">
        <v>10</v>
      </c>
      <c r="D1431" t="s">
        <v>51</v>
      </c>
      <c r="E1431">
        <v>370</v>
      </c>
      <c r="F1431" t="s">
        <v>21</v>
      </c>
      <c r="G1431">
        <v>364</v>
      </c>
      <c r="H1431">
        <v>1434</v>
      </c>
      <c r="I1431" t="str">
        <f>_xlfn.XLOOKUP($C1431,dim_campaigns!$D$2:$D$3,dim_campaigns!$A$2:$A$3,"",0)</f>
        <v>Sankranti</v>
      </c>
      <c r="J1431" s="6">
        <f t="shared" si="44"/>
        <v>2.9395604395604398</v>
      </c>
      <c r="K1431">
        <f t="shared" si="45"/>
        <v>399970</v>
      </c>
      <c r="L1431" t="str">
        <f>VLOOKUP($B1431,dim_stores!$A$1:$C$51,2,0)</f>
        <v>Coimbatore</v>
      </c>
    </row>
    <row r="1432" spans="1:12" x14ac:dyDescent="0.3">
      <c r="A1432" t="s">
        <v>1415</v>
      </c>
      <c r="B1432" t="s">
        <v>142</v>
      </c>
      <c r="C1432" t="s">
        <v>10</v>
      </c>
      <c r="D1432" t="s">
        <v>43</v>
      </c>
      <c r="E1432">
        <v>415</v>
      </c>
      <c r="F1432" t="s">
        <v>17</v>
      </c>
      <c r="G1432">
        <v>21</v>
      </c>
      <c r="H1432">
        <v>17</v>
      </c>
      <c r="I1432" t="str">
        <f>_xlfn.XLOOKUP($C1432,dim_campaigns!$D$2:$D$3,dim_campaigns!$A$2:$A$3,"",0)</f>
        <v>Sankranti</v>
      </c>
      <c r="J1432" s="6">
        <f t="shared" si="44"/>
        <v>-0.19047619047619047</v>
      </c>
      <c r="K1432">
        <f t="shared" si="45"/>
        <v>14006.25</v>
      </c>
      <c r="L1432" t="str">
        <f>VLOOKUP($B1432,dim_stores!$A$1:$C$51,2,0)</f>
        <v>Madurai</v>
      </c>
    </row>
    <row r="1433" spans="1:12" x14ac:dyDescent="0.3">
      <c r="A1433" t="s">
        <v>1416</v>
      </c>
      <c r="B1433" t="s">
        <v>107</v>
      </c>
      <c r="C1433" t="s">
        <v>10</v>
      </c>
      <c r="D1433" t="s">
        <v>24</v>
      </c>
      <c r="E1433">
        <v>3000</v>
      </c>
      <c r="F1433" t="s">
        <v>25</v>
      </c>
      <c r="G1433">
        <v>126</v>
      </c>
      <c r="H1433">
        <v>275</v>
      </c>
      <c r="I1433" t="str">
        <f>_xlfn.XLOOKUP($C1433,dim_campaigns!$D$2:$D$3,dim_campaigns!$A$2:$A$3,"",0)</f>
        <v>Sankranti</v>
      </c>
      <c r="J1433" s="6">
        <f t="shared" si="44"/>
        <v>1.1825396825396826</v>
      </c>
      <c r="K1433">
        <f t="shared" si="45"/>
        <v>1065500</v>
      </c>
      <c r="L1433" t="str">
        <f>VLOOKUP($B1433,dim_stores!$A$1:$C$51,2,0)</f>
        <v>Coimbatore</v>
      </c>
    </row>
    <row r="1434" spans="1:12" x14ac:dyDescent="0.3">
      <c r="A1434" s="1" t="s">
        <v>1417</v>
      </c>
      <c r="B1434" t="s">
        <v>110</v>
      </c>
      <c r="C1434" t="s">
        <v>10</v>
      </c>
      <c r="D1434" t="s">
        <v>85</v>
      </c>
      <c r="E1434">
        <v>90</v>
      </c>
      <c r="F1434" t="s">
        <v>17</v>
      </c>
      <c r="G1434">
        <v>72</v>
      </c>
      <c r="H1434">
        <v>59</v>
      </c>
      <c r="I1434" t="str">
        <f>_xlfn.XLOOKUP($C1434,dim_campaigns!$D$2:$D$3,dim_campaigns!$A$2:$A$3,"",0)</f>
        <v>Sankranti</v>
      </c>
      <c r="J1434" s="6">
        <f t="shared" si="44"/>
        <v>-0.18055555555555555</v>
      </c>
      <c r="K1434">
        <f t="shared" si="45"/>
        <v>10462.5</v>
      </c>
      <c r="L1434" t="str">
        <f>VLOOKUP($B1434,dim_stores!$A$1:$C$51,2,0)</f>
        <v>Chennai</v>
      </c>
    </row>
    <row r="1435" spans="1:12" x14ac:dyDescent="0.3">
      <c r="A1435" t="s">
        <v>1418</v>
      </c>
      <c r="B1435" t="s">
        <v>37</v>
      </c>
      <c r="C1435" t="s">
        <v>10</v>
      </c>
      <c r="D1435" t="s">
        <v>61</v>
      </c>
      <c r="E1435">
        <v>172</v>
      </c>
      <c r="F1435" t="s">
        <v>54</v>
      </c>
      <c r="G1435">
        <v>205</v>
      </c>
      <c r="H1435">
        <v>284</v>
      </c>
      <c r="I1435" t="str">
        <f>_xlfn.XLOOKUP($C1435,dim_campaigns!$D$2:$D$3,dim_campaigns!$A$2:$A$3,"",0)</f>
        <v>Sankranti</v>
      </c>
      <c r="J1435" s="6">
        <f t="shared" si="44"/>
        <v>0.38536585365853659</v>
      </c>
      <c r="K1435">
        <f t="shared" si="45"/>
        <v>67988.160000000003</v>
      </c>
      <c r="L1435" t="str">
        <f>VLOOKUP($B1435,dim_stores!$A$1:$C$51,2,0)</f>
        <v>Coimbatore</v>
      </c>
    </row>
    <row r="1436" spans="1:12" x14ac:dyDescent="0.3">
      <c r="A1436" t="s">
        <v>1419</v>
      </c>
      <c r="B1436" t="s">
        <v>60</v>
      </c>
      <c r="C1436" t="s">
        <v>10</v>
      </c>
      <c r="D1436" t="s">
        <v>61</v>
      </c>
      <c r="E1436">
        <v>172</v>
      </c>
      <c r="F1436" t="s">
        <v>54</v>
      </c>
      <c r="G1436">
        <v>132</v>
      </c>
      <c r="H1436">
        <v>187</v>
      </c>
      <c r="I1436" t="str">
        <f>_xlfn.XLOOKUP($C1436,dim_campaigns!$D$2:$D$3,dim_campaigns!$A$2:$A$3,"",0)</f>
        <v>Sankranti</v>
      </c>
      <c r="J1436" s="6">
        <f t="shared" si="44"/>
        <v>0.41666666666666669</v>
      </c>
      <c r="K1436">
        <f t="shared" si="45"/>
        <v>44253.88</v>
      </c>
      <c r="L1436" t="str">
        <f>VLOOKUP($B1436,dim_stores!$A$1:$C$51,2,0)</f>
        <v>Trivandrum</v>
      </c>
    </row>
    <row r="1437" spans="1:12" x14ac:dyDescent="0.3">
      <c r="A1437">
        <v>7641</v>
      </c>
      <c r="B1437" t="s">
        <v>123</v>
      </c>
      <c r="C1437" t="s">
        <v>10</v>
      </c>
      <c r="D1437" t="s">
        <v>68</v>
      </c>
      <c r="E1437">
        <v>1020</v>
      </c>
      <c r="F1437" t="s">
        <v>21</v>
      </c>
      <c r="G1437">
        <v>97</v>
      </c>
      <c r="H1437">
        <v>257</v>
      </c>
      <c r="I1437" t="str">
        <f>_xlfn.XLOOKUP($C1437,dim_campaigns!$D$2:$D$3,dim_campaigns!$A$2:$A$3,"",0)</f>
        <v>Sankranti</v>
      </c>
      <c r="J1437" s="6">
        <f t="shared" si="44"/>
        <v>1.6494845360824741</v>
      </c>
      <c r="K1437">
        <f t="shared" si="45"/>
        <v>230010</v>
      </c>
      <c r="L1437" t="str">
        <f>VLOOKUP($B1437,dim_stores!$A$1:$C$51,2,0)</f>
        <v>Bengaluru</v>
      </c>
    </row>
    <row r="1438" spans="1:12" x14ac:dyDescent="0.3">
      <c r="A1438" t="s">
        <v>1420</v>
      </c>
      <c r="B1438" t="s">
        <v>123</v>
      </c>
      <c r="C1438" t="s">
        <v>10</v>
      </c>
      <c r="D1438" t="s">
        <v>28</v>
      </c>
      <c r="E1438">
        <v>55</v>
      </c>
      <c r="F1438" t="s">
        <v>17</v>
      </c>
      <c r="G1438">
        <v>19</v>
      </c>
      <c r="H1438">
        <v>17</v>
      </c>
      <c r="I1438" t="str">
        <f>_xlfn.XLOOKUP($C1438,dim_campaigns!$D$2:$D$3,dim_campaigns!$A$2:$A$3,"",0)</f>
        <v>Sankranti</v>
      </c>
      <c r="J1438" s="6">
        <f t="shared" si="44"/>
        <v>-0.10526315789473684</v>
      </c>
      <c r="K1438">
        <f t="shared" si="45"/>
        <v>1746.25</v>
      </c>
      <c r="L1438" t="str">
        <f>VLOOKUP($B1438,dim_stores!$A$1:$C$51,2,0)</f>
        <v>Bengaluru</v>
      </c>
    </row>
    <row r="1439" spans="1:12" x14ac:dyDescent="0.3">
      <c r="A1439" t="s">
        <v>1421</v>
      </c>
      <c r="B1439" t="s">
        <v>63</v>
      </c>
      <c r="C1439" t="s">
        <v>15</v>
      </c>
      <c r="D1439" t="s">
        <v>35</v>
      </c>
      <c r="E1439">
        <v>350</v>
      </c>
      <c r="F1439" t="s">
        <v>21</v>
      </c>
      <c r="G1439">
        <v>61</v>
      </c>
      <c r="H1439">
        <v>204</v>
      </c>
      <c r="I1439" t="str">
        <f>_xlfn.XLOOKUP($C1439,dim_campaigns!$D$2:$D$3,dim_campaigns!$A$2:$A$3,"",0)</f>
        <v>Diwali</v>
      </c>
      <c r="J1439" s="6">
        <f t="shared" si="44"/>
        <v>2.3442622950819674</v>
      </c>
      <c r="K1439">
        <f t="shared" si="45"/>
        <v>57050</v>
      </c>
      <c r="L1439" t="str">
        <f>VLOOKUP($B1439,dim_stores!$A$1:$C$51,2,0)</f>
        <v>Visakhapatnam</v>
      </c>
    </row>
    <row r="1440" spans="1:12" x14ac:dyDescent="0.3">
      <c r="A1440" t="s">
        <v>1422</v>
      </c>
      <c r="B1440" t="s">
        <v>60</v>
      </c>
      <c r="C1440" t="s">
        <v>10</v>
      </c>
      <c r="D1440" t="s">
        <v>68</v>
      </c>
      <c r="E1440">
        <v>1020</v>
      </c>
      <c r="F1440" t="s">
        <v>21</v>
      </c>
      <c r="G1440">
        <v>70</v>
      </c>
      <c r="H1440">
        <v>280</v>
      </c>
      <c r="I1440" t="str">
        <f>_xlfn.XLOOKUP($C1440,dim_campaigns!$D$2:$D$3,dim_campaigns!$A$2:$A$3,"",0)</f>
        <v>Sankranti</v>
      </c>
      <c r="J1440" s="6">
        <f t="shared" si="44"/>
        <v>3</v>
      </c>
      <c r="K1440">
        <f t="shared" si="45"/>
        <v>214200</v>
      </c>
      <c r="L1440" t="str">
        <f>VLOOKUP($B1440,dim_stores!$A$1:$C$51,2,0)</f>
        <v>Trivandrum</v>
      </c>
    </row>
    <row r="1441" spans="1:12" x14ac:dyDescent="0.3">
      <c r="A1441" t="s">
        <v>1423</v>
      </c>
      <c r="B1441" t="s">
        <v>65</v>
      </c>
      <c r="C1441" t="s">
        <v>10</v>
      </c>
      <c r="D1441" t="s">
        <v>43</v>
      </c>
      <c r="E1441">
        <v>415</v>
      </c>
      <c r="F1441" t="s">
        <v>17</v>
      </c>
      <c r="G1441">
        <v>39</v>
      </c>
      <c r="H1441">
        <v>35</v>
      </c>
      <c r="I1441" t="str">
        <f>_xlfn.XLOOKUP($C1441,dim_campaigns!$D$2:$D$3,dim_campaigns!$A$2:$A$3,"",0)</f>
        <v>Sankranti</v>
      </c>
      <c r="J1441" s="6">
        <f t="shared" si="44"/>
        <v>-0.10256410256410256</v>
      </c>
      <c r="K1441">
        <f t="shared" si="45"/>
        <v>27078.75</v>
      </c>
      <c r="L1441" t="str">
        <f>VLOOKUP($B1441,dim_stores!$A$1:$C$51,2,0)</f>
        <v>Hyderabad</v>
      </c>
    </row>
    <row r="1442" spans="1:12" x14ac:dyDescent="0.3">
      <c r="A1442" t="s">
        <v>1424</v>
      </c>
      <c r="B1442" t="s">
        <v>34</v>
      </c>
      <c r="C1442" t="s">
        <v>10</v>
      </c>
      <c r="D1442" t="s">
        <v>68</v>
      </c>
      <c r="E1442">
        <v>1020</v>
      </c>
      <c r="F1442" t="s">
        <v>21</v>
      </c>
      <c r="G1442">
        <v>102</v>
      </c>
      <c r="H1442">
        <v>410</v>
      </c>
      <c r="I1442" t="str">
        <f>_xlfn.XLOOKUP($C1442,dim_campaigns!$D$2:$D$3,dim_campaigns!$A$2:$A$3,"",0)</f>
        <v>Sankranti</v>
      </c>
      <c r="J1442" s="6">
        <f t="shared" si="44"/>
        <v>3.0196078431372548</v>
      </c>
      <c r="K1442">
        <f t="shared" si="45"/>
        <v>313140</v>
      </c>
      <c r="L1442" t="str">
        <f>VLOOKUP($B1442,dim_stores!$A$1:$C$51,2,0)</f>
        <v>Hyderabad</v>
      </c>
    </row>
    <row r="1443" spans="1:12" x14ac:dyDescent="0.3">
      <c r="A1443" t="s">
        <v>1425</v>
      </c>
      <c r="B1443" t="s">
        <v>117</v>
      </c>
      <c r="C1443" t="s">
        <v>15</v>
      </c>
      <c r="D1443" t="s">
        <v>32</v>
      </c>
      <c r="E1443">
        <v>65</v>
      </c>
      <c r="F1443" t="s">
        <v>12</v>
      </c>
      <c r="G1443">
        <v>50</v>
      </c>
      <c r="H1443">
        <v>68</v>
      </c>
      <c r="I1443" t="str">
        <f>_xlfn.XLOOKUP($C1443,dim_campaigns!$D$2:$D$3,dim_campaigns!$A$2:$A$3,"",0)</f>
        <v>Diwali</v>
      </c>
      <c r="J1443" s="6">
        <f t="shared" si="44"/>
        <v>0.36</v>
      </c>
      <c r="K1443">
        <f t="shared" si="45"/>
        <v>5460</v>
      </c>
      <c r="L1443" t="str">
        <f>VLOOKUP($B1443,dim_stores!$A$1:$C$51,2,0)</f>
        <v>Mangalore</v>
      </c>
    </row>
    <row r="1444" spans="1:12" x14ac:dyDescent="0.3">
      <c r="A1444" t="s">
        <v>1426</v>
      </c>
      <c r="B1444" t="s">
        <v>126</v>
      </c>
      <c r="C1444" t="s">
        <v>10</v>
      </c>
      <c r="D1444" t="s">
        <v>43</v>
      </c>
      <c r="E1444">
        <v>415</v>
      </c>
      <c r="F1444" t="s">
        <v>17</v>
      </c>
      <c r="G1444">
        <v>15</v>
      </c>
      <c r="H1444">
        <v>12</v>
      </c>
      <c r="I1444" t="str">
        <f>_xlfn.XLOOKUP($C1444,dim_campaigns!$D$2:$D$3,dim_campaigns!$A$2:$A$3,"",0)</f>
        <v>Sankranti</v>
      </c>
      <c r="J1444" s="6">
        <f t="shared" si="44"/>
        <v>-0.2</v>
      </c>
      <c r="K1444">
        <f t="shared" si="45"/>
        <v>9960</v>
      </c>
      <c r="L1444" t="str">
        <f>VLOOKUP($B1444,dim_stores!$A$1:$C$51,2,0)</f>
        <v>Mangalore</v>
      </c>
    </row>
    <row r="1445" spans="1:12" x14ac:dyDescent="0.3">
      <c r="A1445" t="s">
        <v>1427</v>
      </c>
      <c r="B1445" t="s">
        <v>34</v>
      </c>
      <c r="C1445" t="s">
        <v>10</v>
      </c>
      <c r="D1445" t="s">
        <v>51</v>
      </c>
      <c r="E1445">
        <v>370</v>
      </c>
      <c r="F1445" t="s">
        <v>21</v>
      </c>
      <c r="G1445">
        <v>403</v>
      </c>
      <c r="H1445">
        <v>1567</v>
      </c>
      <c r="I1445" t="str">
        <f>_xlfn.XLOOKUP($C1445,dim_campaigns!$D$2:$D$3,dim_campaigns!$A$2:$A$3,"",0)</f>
        <v>Sankranti</v>
      </c>
      <c r="J1445" s="6">
        <f t="shared" si="44"/>
        <v>2.8883374689826304</v>
      </c>
      <c r="K1445">
        <f t="shared" si="45"/>
        <v>439005</v>
      </c>
      <c r="L1445" t="str">
        <f>VLOOKUP($B1445,dim_stores!$A$1:$C$51,2,0)</f>
        <v>Hyderabad</v>
      </c>
    </row>
    <row r="1446" spans="1:12" x14ac:dyDescent="0.3">
      <c r="A1446" t="s">
        <v>1428</v>
      </c>
      <c r="B1446" t="s">
        <v>56</v>
      </c>
      <c r="C1446" t="s">
        <v>10</v>
      </c>
      <c r="D1446" t="s">
        <v>38</v>
      </c>
      <c r="E1446">
        <v>1190</v>
      </c>
      <c r="F1446" t="s">
        <v>21</v>
      </c>
      <c r="G1446">
        <v>45</v>
      </c>
      <c r="H1446">
        <v>175</v>
      </c>
      <c r="I1446" t="str">
        <f>_xlfn.XLOOKUP($C1446,dim_campaigns!$D$2:$D$3,dim_campaigns!$A$2:$A$3,"",0)</f>
        <v>Sankranti</v>
      </c>
      <c r="J1446" s="6">
        <f t="shared" si="44"/>
        <v>2.8888888888888888</v>
      </c>
      <c r="K1446">
        <f t="shared" si="45"/>
        <v>157675</v>
      </c>
      <c r="L1446" t="str">
        <f>VLOOKUP($B1446,dim_stores!$A$1:$C$51,2,0)</f>
        <v>Chennai</v>
      </c>
    </row>
    <row r="1447" spans="1:12" x14ac:dyDescent="0.3">
      <c r="A1447" t="s">
        <v>1429</v>
      </c>
      <c r="B1447" t="s">
        <v>23</v>
      </c>
      <c r="C1447" t="s">
        <v>15</v>
      </c>
      <c r="D1447" t="s">
        <v>32</v>
      </c>
      <c r="E1447">
        <v>65</v>
      </c>
      <c r="F1447" t="s">
        <v>12</v>
      </c>
      <c r="G1447">
        <v>80</v>
      </c>
      <c r="H1447">
        <v>92</v>
      </c>
      <c r="I1447" t="str">
        <f>_xlfn.XLOOKUP($C1447,dim_campaigns!$D$2:$D$3,dim_campaigns!$A$2:$A$3,"",0)</f>
        <v>Diwali</v>
      </c>
      <c r="J1447" s="6">
        <f t="shared" si="44"/>
        <v>0.15</v>
      </c>
      <c r="K1447">
        <f t="shared" si="45"/>
        <v>8190</v>
      </c>
      <c r="L1447" t="str">
        <f>VLOOKUP($B1447,dim_stores!$A$1:$C$51,2,0)</f>
        <v>Coimbatore</v>
      </c>
    </row>
    <row r="1448" spans="1:12" x14ac:dyDescent="0.3">
      <c r="A1448" t="s">
        <v>1430</v>
      </c>
      <c r="B1448" t="s">
        <v>84</v>
      </c>
      <c r="C1448" t="s">
        <v>10</v>
      </c>
      <c r="D1448" t="s">
        <v>32</v>
      </c>
      <c r="E1448">
        <v>50</v>
      </c>
      <c r="F1448" t="s">
        <v>17</v>
      </c>
      <c r="G1448">
        <v>28</v>
      </c>
      <c r="H1448">
        <v>20</v>
      </c>
      <c r="I1448" t="str">
        <f>_xlfn.XLOOKUP($C1448,dim_campaigns!$D$2:$D$3,dim_campaigns!$A$2:$A$3,"",0)</f>
        <v>Sankranti</v>
      </c>
      <c r="J1448" s="6">
        <f t="shared" si="44"/>
        <v>-0.2857142857142857</v>
      </c>
      <c r="K1448">
        <f t="shared" si="45"/>
        <v>2150</v>
      </c>
      <c r="L1448" t="str">
        <f>VLOOKUP($B1448,dim_stores!$A$1:$C$51,2,0)</f>
        <v>Mysuru</v>
      </c>
    </row>
    <row r="1449" spans="1:12" x14ac:dyDescent="0.3">
      <c r="A1449">
        <v>985960</v>
      </c>
      <c r="B1449" t="s">
        <v>37</v>
      </c>
      <c r="C1449" t="s">
        <v>10</v>
      </c>
      <c r="D1449" t="s">
        <v>43</v>
      </c>
      <c r="E1449">
        <v>415</v>
      </c>
      <c r="F1449" t="s">
        <v>17</v>
      </c>
      <c r="G1449">
        <v>21</v>
      </c>
      <c r="H1449">
        <v>17</v>
      </c>
      <c r="I1449" t="str">
        <f>_xlfn.XLOOKUP($C1449,dim_campaigns!$D$2:$D$3,dim_campaigns!$A$2:$A$3,"",0)</f>
        <v>Sankranti</v>
      </c>
      <c r="J1449" s="6">
        <f t="shared" si="44"/>
        <v>-0.19047619047619047</v>
      </c>
      <c r="K1449">
        <f t="shared" si="45"/>
        <v>14006.25</v>
      </c>
      <c r="L1449" t="str">
        <f>VLOOKUP($B1449,dim_stores!$A$1:$C$51,2,0)</f>
        <v>Coimbatore</v>
      </c>
    </row>
    <row r="1450" spans="1:12" x14ac:dyDescent="0.3">
      <c r="A1450" t="s">
        <v>1431</v>
      </c>
      <c r="B1450" t="s">
        <v>14</v>
      </c>
      <c r="C1450" t="s">
        <v>10</v>
      </c>
      <c r="D1450" t="s">
        <v>16</v>
      </c>
      <c r="E1450">
        <v>200</v>
      </c>
      <c r="F1450" t="s">
        <v>21</v>
      </c>
      <c r="G1450">
        <v>360</v>
      </c>
      <c r="H1450">
        <v>1414</v>
      </c>
      <c r="I1450" t="str">
        <f>_xlfn.XLOOKUP($C1450,dim_campaigns!$D$2:$D$3,dim_campaigns!$A$2:$A$3,"",0)</f>
        <v>Sankranti</v>
      </c>
      <c r="J1450" s="6">
        <f t="shared" si="44"/>
        <v>2.9277777777777776</v>
      </c>
      <c r="K1450">
        <f t="shared" si="45"/>
        <v>213400</v>
      </c>
      <c r="L1450" t="str">
        <f>VLOOKUP($B1450,dim_stores!$A$1:$C$51,2,0)</f>
        <v>Bengaluru</v>
      </c>
    </row>
    <row r="1451" spans="1:12" x14ac:dyDescent="0.3">
      <c r="A1451" t="s">
        <v>1432</v>
      </c>
      <c r="B1451" t="s">
        <v>84</v>
      </c>
      <c r="C1451" t="s">
        <v>15</v>
      </c>
      <c r="D1451" t="s">
        <v>51</v>
      </c>
      <c r="E1451">
        <v>290</v>
      </c>
      <c r="F1451" t="s">
        <v>17</v>
      </c>
      <c r="G1451">
        <v>204</v>
      </c>
      <c r="H1451">
        <v>157</v>
      </c>
      <c r="I1451" t="str">
        <f>_xlfn.XLOOKUP($C1451,dim_campaigns!$D$2:$D$3,dim_campaigns!$A$2:$A$3,"",0)</f>
        <v>Diwali</v>
      </c>
      <c r="J1451" s="6">
        <f t="shared" si="44"/>
        <v>-0.23039215686274508</v>
      </c>
      <c r="K1451">
        <f t="shared" si="45"/>
        <v>93307.5</v>
      </c>
      <c r="L1451" t="str">
        <f>VLOOKUP($B1451,dim_stores!$A$1:$C$51,2,0)</f>
        <v>Mysuru</v>
      </c>
    </row>
    <row r="1452" spans="1:12" x14ac:dyDescent="0.3">
      <c r="A1452" t="s">
        <v>1433</v>
      </c>
      <c r="B1452" t="s">
        <v>27</v>
      </c>
      <c r="C1452" t="s">
        <v>15</v>
      </c>
      <c r="D1452" t="s">
        <v>51</v>
      </c>
      <c r="E1452">
        <v>290</v>
      </c>
      <c r="F1452" t="s">
        <v>17</v>
      </c>
      <c r="G1452">
        <v>360</v>
      </c>
      <c r="H1452">
        <v>320</v>
      </c>
      <c r="I1452" t="str">
        <f>_xlfn.XLOOKUP($C1452,dim_campaigns!$D$2:$D$3,dim_campaigns!$A$2:$A$3,"",0)</f>
        <v>Diwali</v>
      </c>
      <c r="J1452" s="6">
        <f t="shared" si="44"/>
        <v>-0.1111111111111111</v>
      </c>
      <c r="K1452">
        <f t="shared" si="45"/>
        <v>174000</v>
      </c>
      <c r="L1452" t="str">
        <f>VLOOKUP($B1452,dim_stores!$A$1:$C$51,2,0)</f>
        <v>Bengaluru</v>
      </c>
    </row>
    <row r="1453" spans="1:12" x14ac:dyDescent="0.3">
      <c r="A1453" t="s">
        <v>1434</v>
      </c>
      <c r="B1453" t="s">
        <v>45</v>
      </c>
      <c r="C1453" t="s">
        <v>15</v>
      </c>
      <c r="D1453" t="s">
        <v>68</v>
      </c>
      <c r="E1453">
        <v>1020</v>
      </c>
      <c r="F1453" t="s">
        <v>21</v>
      </c>
      <c r="G1453">
        <v>45</v>
      </c>
      <c r="H1453">
        <v>155</v>
      </c>
      <c r="I1453" t="str">
        <f>_xlfn.XLOOKUP($C1453,dim_campaigns!$D$2:$D$3,dim_campaigns!$A$2:$A$3,"",0)</f>
        <v>Diwali</v>
      </c>
      <c r="J1453" s="6">
        <f t="shared" si="44"/>
        <v>2.4444444444444446</v>
      </c>
      <c r="K1453">
        <f t="shared" si="45"/>
        <v>124950</v>
      </c>
      <c r="L1453" t="str">
        <f>VLOOKUP($B1453,dim_stores!$A$1:$C$51,2,0)</f>
        <v>Hyderabad</v>
      </c>
    </row>
    <row r="1454" spans="1:12" x14ac:dyDescent="0.3">
      <c r="A1454" t="s">
        <v>1435</v>
      </c>
      <c r="B1454" t="s">
        <v>14</v>
      </c>
      <c r="C1454" t="s">
        <v>10</v>
      </c>
      <c r="D1454" t="s">
        <v>48</v>
      </c>
      <c r="E1454">
        <v>62</v>
      </c>
      <c r="F1454" t="s">
        <v>12</v>
      </c>
      <c r="G1454">
        <v>55</v>
      </c>
      <c r="H1454">
        <v>77</v>
      </c>
      <c r="I1454" t="str">
        <f>_xlfn.XLOOKUP($C1454,dim_campaigns!$D$2:$D$3,dim_campaigns!$A$2:$A$3,"",0)</f>
        <v>Sankranti</v>
      </c>
      <c r="J1454" s="6">
        <f t="shared" si="44"/>
        <v>0.4</v>
      </c>
      <c r="K1454">
        <f t="shared" si="45"/>
        <v>5797</v>
      </c>
      <c r="L1454" t="str">
        <f>VLOOKUP($B1454,dim_stores!$A$1:$C$51,2,0)</f>
        <v>Bengaluru</v>
      </c>
    </row>
    <row r="1455" spans="1:12" x14ac:dyDescent="0.3">
      <c r="A1455" t="s">
        <v>1436</v>
      </c>
      <c r="B1455" t="s">
        <v>99</v>
      </c>
      <c r="C1455" t="s">
        <v>15</v>
      </c>
      <c r="D1455" t="s">
        <v>53</v>
      </c>
      <c r="E1455">
        <v>860</v>
      </c>
      <c r="F1455" t="s">
        <v>54</v>
      </c>
      <c r="G1455">
        <v>266</v>
      </c>
      <c r="H1455">
        <v>446</v>
      </c>
      <c r="I1455" t="str">
        <f>_xlfn.XLOOKUP($C1455,dim_campaigns!$D$2:$D$3,dim_campaigns!$A$2:$A$3,"",0)</f>
        <v>Diwali</v>
      </c>
      <c r="J1455" s="6">
        <f t="shared" si="44"/>
        <v>0.67669172932330823</v>
      </c>
      <c r="K1455">
        <f t="shared" si="45"/>
        <v>485745.2</v>
      </c>
      <c r="L1455" t="str">
        <f>VLOOKUP($B1455,dim_stores!$A$1:$C$51,2,0)</f>
        <v>Coimbatore</v>
      </c>
    </row>
    <row r="1456" spans="1:12" x14ac:dyDescent="0.3">
      <c r="A1456" t="s">
        <v>1437</v>
      </c>
      <c r="B1456" t="s">
        <v>45</v>
      </c>
      <c r="C1456" t="s">
        <v>10</v>
      </c>
      <c r="D1456" t="s">
        <v>20</v>
      </c>
      <c r="E1456">
        <v>300</v>
      </c>
      <c r="F1456" t="s">
        <v>21</v>
      </c>
      <c r="G1456">
        <v>51</v>
      </c>
      <c r="H1456">
        <v>205</v>
      </c>
      <c r="I1456" t="str">
        <f>_xlfn.XLOOKUP($C1456,dim_campaigns!$D$2:$D$3,dim_campaigns!$A$2:$A$3,"",0)</f>
        <v>Sankranti</v>
      </c>
      <c r="J1456" s="6">
        <f t="shared" si="44"/>
        <v>3.0196078431372548</v>
      </c>
      <c r="K1456">
        <f t="shared" si="45"/>
        <v>46050</v>
      </c>
      <c r="L1456" t="str">
        <f>VLOOKUP($B1456,dim_stores!$A$1:$C$51,2,0)</f>
        <v>Hyderabad</v>
      </c>
    </row>
    <row r="1457" spans="1:12" x14ac:dyDescent="0.3">
      <c r="A1457" t="s">
        <v>1438</v>
      </c>
      <c r="B1457" t="s">
        <v>161</v>
      </c>
      <c r="C1457" t="s">
        <v>15</v>
      </c>
      <c r="D1457" t="s">
        <v>35</v>
      </c>
      <c r="E1457">
        <v>350</v>
      </c>
      <c r="F1457" t="s">
        <v>21</v>
      </c>
      <c r="G1457">
        <v>63</v>
      </c>
      <c r="H1457">
        <v>242</v>
      </c>
      <c r="I1457" t="str">
        <f>_xlfn.XLOOKUP($C1457,dim_campaigns!$D$2:$D$3,dim_campaigns!$A$2:$A$3,"",0)</f>
        <v>Diwali</v>
      </c>
      <c r="J1457" s="6">
        <f t="shared" si="44"/>
        <v>2.8412698412698414</v>
      </c>
      <c r="K1457">
        <f t="shared" si="45"/>
        <v>64400</v>
      </c>
      <c r="L1457" t="str">
        <f>VLOOKUP($B1457,dim_stores!$A$1:$C$51,2,0)</f>
        <v>Chennai</v>
      </c>
    </row>
    <row r="1458" spans="1:12" x14ac:dyDescent="0.3">
      <c r="A1458" t="s">
        <v>1439</v>
      </c>
      <c r="B1458" t="s">
        <v>174</v>
      </c>
      <c r="C1458" t="s">
        <v>15</v>
      </c>
      <c r="D1458" t="s">
        <v>20</v>
      </c>
      <c r="E1458">
        <v>300</v>
      </c>
      <c r="F1458" t="s">
        <v>21</v>
      </c>
      <c r="G1458">
        <v>29</v>
      </c>
      <c r="H1458">
        <v>96</v>
      </c>
      <c r="I1458" t="str">
        <f>_xlfn.XLOOKUP($C1458,dim_campaigns!$D$2:$D$3,dim_campaigns!$A$2:$A$3,"",0)</f>
        <v>Diwali</v>
      </c>
      <c r="J1458" s="6">
        <f t="shared" si="44"/>
        <v>2.3103448275862069</v>
      </c>
      <c r="K1458">
        <f t="shared" si="45"/>
        <v>23100</v>
      </c>
      <c r="L1458" t="str">
        <f>VLOOKUP($B1458,dim_stores!$A$1:$C$51,2,0)</f>
        <v>Trivandrum</v>
      </c>
    </row>
    <row r="1459" spans="1:12" x14ac:dyDescent="0.3">
      <c r="A1459" t="s">
        <v>1440</v>
      </c>
      <c r="B1459" t="s">
        <v>60</v>
      </c>
      <c r="C1459" t="s">
        <v>15</v>
      </c>
      <c r="D1459" t="s">
        <v>68</v>
      </c>
      <c r="E1459">
        <v>1020</v>
      </c>
      <c r="F1459" t="s">
        <v>21</v>
      </c>
      <c r="G1459">
        <v>21</v>
      </c>
      <c r="H1459">
        <v>70</v>
      </c>
      <c r="I1459" t="str">
        <f>_xlfn.XLOOKUP($C1459,dim_campaigns!$D$2:$D$3,dim_campaigns!$A$2:$A$3,"",0)</f>
        <v>Diwali</v>
      </c>
      <c r="J1459" s="6">
        <f t="shared" si="44"/>
        <v>2.3333333333333335</v>
      </c>
      <c r="K1459">
        <f t="shared" si="45"/>
        <v>57120</v>
      </c>
      <c r="L1459" t="str">
        <f>VLOOKUP($B1459,dim_stores!$A$1:$C$51,2,0)</f>
        <v>Trivandrum</v>
      </c>
    </row>
    <row r="1460" spans="1:12" x14ac:dyDescent="0.3">
      <c r="A1460" t="s">
        <v>1441</v>
      </c>
      <c r="B1460" t="s">
        <v>14</v>
      </c>
      <c r="C1460" t="s">
        <v>10</v>
      </c>
      <c r="D1460" t="s">
        <v>11</v>
      </c>
      <c r="E1460">
        <v>190</v>
      </c>
      <c r="F1460" t="s">
        <v>12</v>
      </c>
      <c r="G1460">
        <v>45</v>
      </c>
      <c r="H1460">
        <v>62</v>
      </c>
      <c r="I1460" t="str">
        <f>_xlfn.XLOOKUP($C1460,dim_campaigns!$D$2:$D$3,dim_campaigns!$A$2:$A$3,"",0)</f>
        <v>Sankranti</v>
      </c>
      <c r="J1460" s="6">
        <f t="shared" si="44"/>
        <v>0.37777777777777777</v>
      </c>
      <c r="K1460">
        <f t="shared" si="45"/>
        <v>14440</v>
      </c>
      <c r="L1460" t="str">
        <f>VLOOKUP($B1460,dim_stores!$A$1:$C$51,2,0)</f>
        <v>Bengaluru</v>
      </c>
    </row>
    <row r="1461" spans="1:12" x14ac:dyDescent="0.3">
      <c r="A1461" s="1">
        <v>9.8999999999999995E+87</v>
      </c>
      <c r="B1461" t="s">
        <v>45</v>
      </c>
      <c r="C1461" t="s">
        <v>15</v>
      </c>
      <c r="D1461" t="s">
        <v>28</v>
      </c>
      <c r="E1461">
        <v>55</v>
      </c>
      <c r="F1461" t="s">
        <v>17</v>
      </c>
      <c r="G1461">
        <v>117</v>
      </c>
      <c r="H1461">
        <v>104</v>
      </c>
      <c r="I1461" t="str">
        <f>_xlfn.XLOOKUP($C1461,dim_campaigns!$D$2:$D$3,dim_campaigns!$A$2:$A$3,"",0)</f>
        <v>Diwali</v>
      </c>
      <c r="J1461" s="6">
        <f t="shared" si="44"/>
        <v>-0.1111111111111111</v>
      </c>
      <c r="K1461">
        <f t="shared" si="45"/>
        <v>10725</v>
      </c>
      <c r="L1461" t="str">
        <f>VLOOKUP($B1461,dim_stores!$A$1:$C$51,2,0)</f>
        <v>Hyderabad</v>
      </c>
    </row>
    <row r="1462" spans="1:12" x14ac:dyDescent="0.3">
      <c r="A1462" t="s">
        <v>1442</v>
      </c>
      <c r="B1462" t="s">
        <v>45</v>
      </c>
      <c r="C1462" t="s">
        <v>15</v>
      </c>
      <c r="D1462" t="s">
        <v>20</v>
      </c>
      <c r="E1462">
        <v>300</v>
      </c>
      <c r="F1462" t="s">
        <v>21</v>
      </c>
      <c r="G1462">
        <v>63</v>
      </c>
      <c r="H1462">
        <v>218</v>
      </c>
      <c r="I1462" t="str">
        <f>_xlfn.XLOOKUP($C1462,dim_campaigns!$D$2:$D$3,dim_campaigns!$A$2:$A$3,"",0)</f>
        <v>Diwali</v>
      </c>
      <c r="J1462" s="6">
        <f t="shared" si="44"/>
        <v>2.4603174603174605</v>
      </c>
      <c r="K1462">
        <f t="shared" si="45"/>
        <v>51600</v>
      </c>
      <c r="L1462" t="str">
        <f>VLOOKUP($B1462,dim_stores!$A$1:$C$51,2,0)</f>
        <v>Hyderabad</v>
      </c>
    </row>
    <row r="1463" spans="1:12" x14ac:dyDescent="0.3">
      <c r="A1463" t="s">
        <v>1443</v>
      </c>
      <c r="B1463" t="s">
        <v>207</v>
      </c>
      <c r="C1463" t="s">
        <v>10</v>
      </c>
      <c r="D1463" t="s">
        <v>53</v>
      </c>
      <c r="E1463">
        <v>860</v>
      </c>
      <c r="F1463" t="s">
        <v>54</v>
      </c>
      <c r="G1463">
        <v>514</v>
      </c>
      <c r="H1463">
        <v>791</v>
      </c>
      <c r="I1463" t="str">
        <f>_xlfn.XLOOKUP($C1463,dim_campaigns!$D$2:$D$3,dim_campaigns!$A$2:$A$3,"",0)</f>
        <v>Sankranti</v>
      </c>
      <c r="J1463" s="6">
        <f t="shared" si="44"/>
        <v>0.53891050583657585</v>
      </c>
      <c r="K1463">
        <f t="shared" si="45"/>
        <v>897814.2</v>
      </c>
      <c r="L1463" t="str">
        <f>VLOOKUP($B1463,dim_stores!$A$1:$C$51,2,0)</f>
        <v>Hyderabad</v>
      </c>
    </row>
    <row r="1464" spans="1:12" x14ac:dyDescent="0.3">
      <c r="A1464" t="s">
        <v>1444</v>
      </c>
      <c r="B1464" t="s">
        <v>34</v>
      </c>
      <c r="C1464" t="s">
        <v>15</v>
      </c>
      <c r="D1464" t="s">
        <v>61</v>
      </c>
      <c r="E1464">
        <v>172</v>
      </c>
      <c r="F1464" t="s">
        <v>54</v>
      </c>
      <c r="G1464">
        <v>304</v>
      </c>
      <c r="H1464">
        <v>465</v>
      </c>
      <c r="I1464" t="str">
        <f>_xlfn.XLOOKUP($C1464,dim_campaigns!$D$2:$D$3,dim_campaigns!$A$2:$A$3,"",0)</f>
        <v>Diwali</v>
      </c>
      <c r="J1464" s="6">
        <f t="shared" si="44"/>
        <v>0.52960526315789469</v>
      </c>
      <c r="K1464">
        <f t="shared" si="45"/>
        <v>105874.6</v>
      </c>
      <c r="L1464" t="str">
        <f>VLOOKUP($B1464,dim_stores!$A$1:$C$51,2,0)</f>
        <v>Hyderabad</v>
      </c>
    </row>
    <row r="1465" spans="1:12" x14ac:dyDescent="0.3">
      <c r="A1465" t="s">
        <v>1445</v>
      </c>
      <c r="B1465" t="s">
        <v>63</v>
      </c>
      <c r="C1465" t="s">
        <v>15</v>
      </c>
      <c r="D1465" t="s">
        <v>16</v>
      </c>
      <c r="E1465">
        <v>156</v>
      </c>
      <c r="F1465" t="s">
        <v>17</v>
      </c>
      <c r="G1465">
        <v>246</v>
      </c>
      <c r="H1465">
        <v>194</v>
      </c>
      <c r="I1465" t="str">
        <f>_xlfn.XLOOKUP($C1465,dim_campaigns!$D$2:$D$3,dim_campaigns!$A$2:$A$3,"",0)</f>
        <v>Diwali</v>
      </c>
      <c r="J1465" s="6">
        <f t="shared" si="44"/>
        <v>-0.21138211382113822</v>
      </c>
      <c r="K1465">
        <f t="shared" si="45"/>
        <v>61074</v>
      </c>
      <c r="L1465" t="str">
        <f>VLOOKUP($B1465,dim_stores!$A$1:$C$51,2,0)</f>
        <v>Visakhapatnam</v>
      </c>
    </row>
    <row r="1466" spans="1:12" x14ac:dyDescent="0.3">
      <c r="A1466" t="s">
        <v>1446</v>
      </c>
      <c r="B1466" t="s">
        <v>93</v>
      </c>
      <c r="C1466" t="s">
        <v>10</v>
      </c>
      <c r="D1466" t="s">
        <v>68</v>
      </c>
      <c r="E1466">
        <v>1020</v>
      </c>
      <c r="F1466" t="s">
        <v>21</v>
      </c>
      <c r="G1466">
        <v>97</v>
      </c>
      <c r="H1466">
        <v>380</v>
      </c>
      <c r="I1466" t="str">
        <f>_xlfn.XLOOKUP($C1466,dim_campaigns!$D$2:$D$3,dim_campaigns!$A$2:$A$3,"",0)</f>
        <v>Sankranti</v>
      </c>
      <c r="J1466" s="6">
        <f t="shared" si="44"/>
        <v>2.9175257731958761</v>
      </c>
      <c r="K1466">
        <f t="shared" si="45"/>
        <v>292740</v>
      </c>
      <c r="L1466" t="str">
        <f>VLOOKUP($B1466,dim_stores!$A$1:$C$51,2,0)</f>
        <v>Bengaluru</v>
      </c>
    </row>
    <row r="1467" spans="1:12" x14ac:dyDescent="0.3">
      <c r="A1467" t="s">
        <v>1447</v>
      </c>
      <c r="B1467" t="s">
        <v>67</v>
      </c>
      <c r="C1467" t="s">
        <v>15</v>
      </c>
      <c r="D1467" t="s">
        <v>51</v>
      </c>
      <c r="E1467">
        <v>290</v>
      </c>
      <c r="F1467" t="s">
        <v>17</v>
      </c>
      <c r="G1467">
        <v>337</v>
      </c>
      <c r="H1467">
        <v>296</v>
      </c>
      <c r="I1467" t="str">
        <f>_xlfn.XLOOKUP($C1467,dim_campaigns!$D$2:$D$3,dim_campaigns!$A$2:$A$3,"",0)</f>
        <v>Diwali</v>
      </c>
      <c r="J1467" s="6">
        <f t="shared" si="44"/>
        <v>-0.12166172106824925</v>
      </c>
      <c r="K1467">
        <f t="shared" si="45"/>
        <v>162110</v>
      </c>
      <c r="L1467" t="str">
        <f>VLOOKUP($B1467,dim_stores!$A$1:$C$51,2,0)</f>
        <v>Bengaluru</v>
      </c>
    </row>
    <row r="1468" spans="1:12" x14ac:dyDescent="0.3">
      <c r="A1468" t="s">
        <v>1448</v>
      </c>
      <c r="B1468" t="s">
        <v>174</v>
      </c>
      <c r="C1468" t="s">
        <v>10</v>
      </c>
      <c r="D1468" t="s">
        <v>85</v>
      </c>
      <c r="E1468">
        <v>90</v>
      </c>
      <c r="F1468" t="s">
        <v>17</v>
      </c>
      <c r="G1468">
        <v>30</v>
      </c>
      <c r="H1468">
        <v>28</v>
      </c>
      <c r="I1468" t="str">
        <f>_xlfn.XLOOKUP($C1468,dim_campaigns!$D$2:$D$3,dim_campaigns!$A$2:$A$3,"",0)</f>
        <v>Sankranti</v>
      </c>
      <c r="J1468" s="6">
        <f t="shared" si="44"/>
        <v>-6.6666666666666666E-2</v>
      </c>
      <c r="K1468">
        <f t="shared" si="45"/>
        <v>4590</v>
      </c>
      <c r="L1468" t="str">
        <f>VLOOKUP($B1468,dim_stores!$A$1:$C$51,2,0)</f>
        <v>Trivandrum</v>
      </c>
    </row>
    <row r="1469" spans="1:12" x14ac:dyDescent="0.3">
      <c r="A1469" t="s">
        <v>1449</v>
      </c>
      <c r="B1469" t="s">
        <v>212</v>
      </c>
      <c r="C1469" t="s">
        <v>15</v>
      </c>
      <c r="D1469" t="s">
        <v>32</v>
      </c>
      <c r="E1469">
        <v>65</v>
      </c>
      <c r="F1469" t="s">
        <v>12</v>
      </c>
      <c r="G1469">
        <v>120</v>
      </c>
      <c r="H1469">
        <v>188</v>
      </c>
      <c r="I1469" t="str">
        <f>_xlfn.XLOOKUP($C1469,dim_campaigns!$D$2:$D$3,dim_campaigns!$A$2:$A$3,"",0)</f>
        <v>Diwali</v>
      </c>
      <c r="J1469" s="6">
        <f t="shared" si="44"/>
        <v>0.56666666666666665</v>
      </c>
      <c r="K1469">
        <f t="shared" si="45"/>
        <v>13910</v>
      </c>
      <c r="L1469" t="str">
        <f>VLOOKUP($B1469,dim_stores!$A$1:$C$51,2,0)</f>
        <v>Bengaluru</v>
      </c>
    </row>
    <row r="1470" spans="1:12" x14ac:dyDescent="0.3">
      <c r="A1470" t="s">
        <v>1450</v>
      </c>
      <c r="B1470" t="s">
        <v>78</v>
      </c>
      <c r="C1470" t="s">
        <v>10</v>
      </c>
      <c r="D1470" t="s">
        <v>61</v>
      </c>
      <c r="E1470">
        <v>172</v>
      </c>
      <c r="F1470" t="s">
        <v>54</v>
      </c>
      <c r="G1470">
        <v>279</v>
      </c>
      <c r="H1470">
        <v>401</v>
      </c>
      <c r="I1470" t="str">
        <f>_xlfn.XLOOKUP($C1470,dim_campaigns!$D$2:$D$3,dim_campaigns!$A$2:$A$3,"",0)</f>
        <v>Sankranti</v>
      </c>
      <c r="J1470" s="6">
        <f t="shared" si="44"/>
        <v>0.43727598566308246</v>
      </c>
      <c r="K1470">
        <f t="shared" si="45"/>
        <v>94199.239999999991</v>
      </c>
      <c r="L1470" t="str">
        <f>VLOOKUP($B1470,dim_stores!$A$1:$C$51,2,0)</f>
        <v>Mysuru</v>
      </c>
    </row>
    <row r="1471" spans="1:12" x14ac:dyDescent="0.3">
      <c r="A1471" t="s">
        <v>1451</v>
      </c>
      <c r="B1471" t="s">
        <v>123</v>
      </c>
      <c r="C1471" t="s">
        <v>10</v>
      </c>
      <c r="D1471" t="s">
        <v>61</v>
      </c>
      <c r="E1471">
        <v>172</v>
      </c>
      <c r="F1471" t="s">
        <v>54</v>
      </c>
      <c r="G1471">
        <v>297</v>
      </c>
      <c r="H1471">
        <v>418</v>
      </c>
      <c r="I1471" t="str">
        <f>_xlfn.XLOOKUP($C1471,dim_campaigns!$D$2:$D$3,dim_campaigns!$A$2:$A$3,"",0)</f>
        <v>Sankranti</v>
      </c>
      <c r="J1471" s="6">
        <f t="shared" si="44"/>
        <v>0.40740740740740738</v>
      </c>
      <c r="K1471">
        <f t="shared" si="45"/>
        <v>99254.32</v>
      </c>
      <c r="L1471" t="str">
        <f>VLOOKUP($B1471,dim_stores!$A$1:$C$51,2,0)</f>
        <v>Bengaluru</v>
      </c>
    </row>
    <row r="1472" spans="1:12" x14ac:dyDescent="0.3">
      <c r="A1472" t="s">
        <v>1452</v>
      </c>
      <c r="B1472" t="s">
        <v>103</v>
      </c>
      <c r="C1472" t="s">
        <v>15</v>
      </c>
      <c r="D1472" t="s">
        <v>85</v>
      </c>
      <c r="E1472">
        <v>110</v>
      </c>
      <c r="F1472" t="s">
        <v>12</v>
      </c>
      <c r="G1472">
        <v>87</v>
      </c>
      <c r="H1472">
        <v>92</v>
      </c>
      <c r="I1472" t="str">
        <f>_xlfn.XLOOKUP($C1472,dim_campaigns!$D$2:$D$3,dim_campaigns!$A$2:$A$3,"",0)</f>
        <v>Diwali</v>
      </c>
      <c r="J1472" s="6">
        <f t="shared" si="44"/>
        <v>5.7471264367816091E-2</v>
      </c>
      <c r="K1472">
        <f t="shared" si="45"/>
        <v>14630</v>
      </c>
      <c r="L1472" t="str">
        <f>VLOOKUP($B1472,dim_stores!$A$1:$C$51,2,0)</f>
        <v>Hyderabad</v>
      </c>
    </row>
    <row r="1473" spans="1:12" x14ac:dyDescent="0.3">
      <c r="A1473" t="s">
        <v>1453</v>
      </c>
      <c r="B1473" t="s">
        <v>137</v>
      </c>
      <c r="C1473" t="s">
        <v>10</v>
      </c>
      <c r="D1473" t="s">
        <v>51</v>
      </c>
      <c r="E1473">
        <v>370</v>
      </c>
      <c r="F1473" t="s">
        <v>21</v>
      </c>
      <c r="G1473">
        <v>226</v>
      </c>
      <c r="H1473">
        <v>881</v>
      </c>
      <c r="I1473" t="str">
        <f>_xlfn.XLOOKUP($C1473,dim_campaigns!$D$2:$D$3,dim_campaigns!$A$2:$A$3,"",0)</f>
        <v>Sankranti</v>
      </c>
      <c r="J1473" s="6">
        <f t="shared" si="44"/>
        <v>2.8982300884955752</v>
      </c>
      <c r="K1473">
        <f t="shared" si="45"/>
        <v>246605</v>
      </c>
      <c r="L1473" t="str">
        <f>VLOOKUP($B1473,dim_stores!$A$1:$C$51,2,0)</f>
        <v>Mangalore</v>
      </c>
    </row>
    <row r="1474" spans="1:12" x14ac:dyDescent="0.3">
      <c r="A1474" t="s">
        <v>1454</v>
      </c>
      <c r="B1474" t="s">
        <v>65</v>
      </c>
      <c r="C1474" t="s">
        <v>15</v>
      </c>
      <c r="D1474" t="s">
        <v>48</v>
      </c>
      <c r="E1474">
        <v>62</v>
      </c>
      <c r="F1474" t="s">
        <v>12</v>
      </c>
      <c r="G1474">
        <v>161</v>
      </c>
      <c r="H1474">
        <v>209</v>
      </c>
      <c r="I1474" t="str">
        <f>_xlfn.XLOOKUP($C1474,dim_campaigns!$D$2:$D$3,dim_campaigns!$A$2:$A$3,"",0)</f>
        <v>Diwali</v>
      </c>
      <c r="J1474" s="6">
        <f t="shared" si="44"/>
        <v>0.29813664596273293</v>
      </c>
      <c r="K1474">
        <f t="shared" si="45"/>
        <v>16461</v>
      </c>
      <c r="L1474" t="str">
        <f>VLOOKUP($B1474,dim_stores!$A$1:$C$51,2,0)</f>
        <v>Hyderabad</v>
      </c>
    </row>
    <row r="1475" spans="1:12" x14ac:dyDescent="0.3">
      <c r="A1475" t="s">
        <v>1455</v>
      </c>
      <c r="B1475" t="s">
        <v>142</v>
      </c>
      <c r="C1475" t="s">
        <v>10</v>
      </c>
      <c r="D1475" t="s">
        <v>24</v>
      </c>
      <c r="E1475">
        <v>3000</v>
      </c>
      <c r="F1475" t="s">
        <v>25</v>
      </c>
      <c r="G1475">
        <v>85</v>
      </c>
      <c r="H1475">
        <v>195</v>
      </c>
      <c r="I1475" t="str">
        <f>_xlfn.XLOOKUP($C1475,dim_campaigns!$D$2:$D$3,dim_campaigns!$A$2:$A$3,"",0)</f>
        <v>Sankranti</v>
      </c>
      <c r="J1475" s="6">
        <f t="shared" ref="J1475:J1501" si="46">IFERROR((H1475-G1475)/G1475,0)</f>
        <v>1.2941176470588236</v>
      </c>
      <c r="K1475">
        <f t="shared" ref="K1475:K1501" si="47">E1475*G1475+(E1475-IF(F1475="500 Cashback",500,IF(F1475="BOGOF",E1475*50%,IF(F1475="25% OFF",E1475*25%,IF(F1475="33% OFF",E1475*33%,IF(F1475="50% OFF",E1475*50%,0))))))*H1475</f>
        <v>742500</v>
      </c>
      <c r="L1475" t="str">
        <f>VLOOKUP($B1475,dim_stores!$A$1:$C$51,2,0)</f>
        <v>Madurai</v>
      </c>
    </row>
    <row r="1476" spans="1:12" x14ac:dyDescent="0.3">
      <c r="A1476" t="s">
        <v>1456</v>
      </c>
      <c r="B1476" t="s">
        <v>212</v>
      </c>
      <c r="C1476" t="s">
        <v>15</v>
      </c>
      <c r="D1476" t="s">
        <v>85</v>
      </c>
      <c r="E1476">
        <v>110</v>
      </c>
      <c r="F1476" t="s">
        <v>12</v>
      </c>
      <c r="G1476">
        <v>78</v>
      </c>
      <c r="H1476">
        <v>117</v>
      </c>
      <c r="I1476" t="str">
        <f>_xlfn.XLOOKUP($C1476,dim_campaigns!$D$2:$D$3,dim_campaigns!$A$2:$A$3,"",0)</f>
        <v>Diwali</v>
      </c>
      <c r="J1476" s="6">
        <f t="shared" si="46"/>
        <v>0.5</v>
      </c>
      <c r="K1476">
        <f t="shared" si="47"/>
        <v>15015</v>
      </c>
      <c r="L1476" t="str">
        <f>VLOOKUP($B1476,dim_stores!$A$1:$C$51,2,0)</f>
        <v>Bengaluru</v>
      </c>
    </row>
    <row r="1477" spans="1:12" x14ac:dyDescent="0.3">
      <c r="A1477" t="s">
        <v>1457</v>
      </c>
      <c r="B1477" t="s">
        <v>89</v>
      </c>
      <c r="C1477" t="s">
        <v>10</v>
      </c>
      <c r="D1477" t="s">
        <v>53</v>
      </c>
      <c r="E1477">
        <v>860</v>
      </c>
      <c r="F1477" t="s">
        <v>54</v>
      </c>
      <c r="G1477">
        <v>274</v>
      </c>
      <c r="H1477">
        <v>394</v>
      </c>
      <c r="I1477" t="str">
        <f>_xlfn.XLOOKUP($C1477,dim_campaigns!$D$2:$D$3,dim_campaigns!$A$2:$A$3,"",0)</f>
        <v>Sankranti</v>
      </c>
      <c r="J1477" s="6">
        <f t="shared" si="46"/>
        <v>0.43795620437956206</v>
      </c>
      <c r="K1477">
        <f t="shared" si="47"/>
        <v>462662.80000000005</v>
      </c>
      <c r="L1477" t="str">
        <f>VLOOKUP($B1477,dim_stores!$A$1:$C$51,2,0)</f>
        <v>Vijayawada</v>
      </c>
    </row>
    <row r="1478" spans="1:12" x14ac:dyDescent="0.3">
      <c r="A1478" t="s">
        <v>1458</v>
      </c>
      <c r="B1478" t="s">
        <v>75</v>
      </c>
      <c r="C1478" t="s">
        <v>15</v>
      </c>
      <c r="D1478" t="s">
        <v>61</v>
      </c>
      <c r="E1478">
        <v>172</v>
      </c>
      <c r="F1478" t="s">
        <v>54</v>
      </c>
      <c r="G1478">
        <v>292</v>
      </c>
      <c r="H1478">
        <v>373</v>
      </c>
      <c r="I1478" t="str">
        <f>_xlfn.XLOOKUP($C1478,dim_campaigns!$D$2:$D$3,dim_campaigns!$A$2:$A$3,"",0)</f>
        <v>Diwali</v>
      </c>
      <c r="J1478" s="6">
        <f t="shared" si="46"/>
        <v>0.2773972602739726</v>
      </c>
      <c r="K1478">
        <f t="shared" si="47"/>
        <v>93208.51999999999</v>
      </c>
      <c r="L1478" t="str">
        <f>VLOOKUP($B1478,dim_stores!$A$1:$C$51,2,0)</f>
        <v>Madurai</v>
      </c>
    </row>
    <row r="1479" spans="1:12" x14ac:dyDescent="0.3">
      <c r="A1479" t="s">
        <v>1459</v>
      </c>
      <c r="B1479" t="s">
        <v>103</v>
      </c>
      <c r="C1479" t="s">
        <v>15</v>
      </c>
      <c r="D1479" t="s">
        <v>11</v>
      </c>
      <c r="E1479">
        <v>190</v>
      </c>
      <c r="F1479" t="s">
        <v>12</v>
      </c>
      <c r="G1479">
        <v>61</v>
      </c>
      <c r="H1479">
        <v>72</v>
      </c>
      <c r="I1479" t="str">
        <f>_xlfn.XLOOKUP($C1479,dim_campaigns!$D$2:$D$3,dim_campaigns!$A$2:$A$3,"",0)</f>
        <v>Diwali</v>
      </c>
      <c r="J1479" s="6">
        <f t="shared" si="46"/>
        <v>0.18032786885245902</v>
      </c>
      <c r="K1479">
        <f t="shared" si="47"/>
        <v>18430</v>
      </c>
      <c r="L1479" t="str">
        <f>VLOOKUP($B1479,dim_stores!$A$1:$C$51,2,0)</f>
        <v>Hyderabad</v>
      </c>
    </row>
    <row r="1480" spans="1:12" x14ac:dyDescent="0.3">
      <c r="A1480" t="s">
        <v>1460</v>
      </c>
      <c r="B1480" t="s">
        <v>40</v>
      </c>
      <c r="C1480" t="s">
        <v>10</v>
      </c>
      <c r="D1480" t="s">
        <v>53</v>
      </c>
      <c r="E1480">
        <v>860</v>
      </c>
      <c r="F1480" t="s">
        <v>54</v>
      </c>
      <c r="G1480">
        <v>319</v>
      </c>
      <c r="H1480">
        <v>379</v>
      </c>
      <c r="I1480" t="str">
        <f>_xlfn.XLOOKUP($C1480,dim_campaigns!$D$2:$D$3,dim_campaigns!$A$2:$A$3,"",0)</f>
        <v>Sankranti</v>
      </c>
      <c r="J1480" s="6">
        <f t="shared" si="46"/>
        <v>0.18808777429467086</v>
      </c>
      <c r="K1480">
        <f t="shared" si="47"/>
        <v>492719.80000000005</v>
      </c>
      <c r="L1480" t="str">
        <f>VLOOKUP($B1480,dim_stores!$A$1:$C$51,2,0)</f>
        <v>Madurai</v>
      </c>
    </row>
    <row r="1481" spans="1:12" x14ac:dyDescent="0.3">
      <c r="A1481" t="s">
        <v>1461</v>
      </c>
      <c r="B1481" t="s">
        <v>103</v>
      </c>
      <c r="C1481" t="s">
        <v>10</v>
      </c>
      <c r="D1481" t="s">
        <v>16</v>
      </c>
      <c r="E1481">
        <v>200</v>
      </c>
      <c r="F1481" t="s">
        <v>21</v>
      </c>
      <c r="G1481">
        <v>328</v>
      </c>
      <c r="H1481">
        <v>833</v>
      </c>
      <c r="I1481" t="str">
        <f>_xlfn.XLOOKUP($C1481,dim_campaigns!$D$2:$D$3,dim_campaigns!$A$2:$A$3,"",0)</f>
        <v>Sankranti</v>
      </c>
      <c r="J1481" s="6">
        <f t="shared" si="46"/>
        <v>1.5396341463414633</v>
      </c>
      <c r="K1481">
        <f t="shared" si="47"/>
        <v>148900</v>
      </c>
      <c r="L1481" t="str">
        <f>VLOOKUP($B1481,dim_stores!$A$1:$C$51,2,0)</f>
        <v>Hyderabad</v>
      </c>
    </row>
    <row r="1482" spans="1:12" x14ac:dyDescent="0.3">
      <c r="A1482" t="s">
        <v>1462</v>
      </c>
      <c r="B1482" t="s">
        <v>110</v>
      </c>
      <c r="C1482" t="s">
        <v>10</v>
      </c>
      <c r="D1482" t="s">
        <v>48</v>
      </c>
      <c r="E1482">
        <v>62</v>
      </c>
      <c r="F1482" t="s">
        <v>12</v>
      </c>
      <c r="G1482">
        <v>55</v>
      </c>
      <c r="H1482">
        <v>79</v>
      </c>
      <c r="I1482" t="str">
        <f>_xlfn.XLOOKUP($C1482,dim_campaigns!$D$2:$D$3,dim_campaigns!$A$2:$A$3,"",0)</f>
        <v>Sankranti</v>
      </c>
      <c r="J1482" s="6">
        <f t="shared" si="46"/>
        <v>0.43636363636363634</v>
      </c>
      <c r="K1482">
        <f t="shared" si="47"/>
        <v>5859</v>
      </c>
      <c r="L1482" t="str">
        <f>VLOOKUP($B1482,dim_stores!$A$1:$C$51,2,0)</f>
        <v>Chennai</v>
      </c>
    </row>
    <row r="1483" spans="1:12" x14ac:dyDescent="0.3">
      <c r="A1483" t="s">
        <v>1463</v>
      </c>
      <c r="B1483" t="s">
        <v>137</v>
      </c>
      <c r="C1483" t="s">
        <v>10</v>
      </c>
      <c r="D1483" t="s">
        <v>11</v>
      </c>
      <c r="E1483">
        <v>190</v>
      </c>
      <c r="F1483" t="s">
        <v>12</v>
      </c>
      <c r="G1483">
        <v>24</v>
      </c>
      <c r="H1483">
        <v>27</v>
      </c>
      <c r="I1483" t="str">
        <f>_xlfn.XLOOKUP($C1483,dim_campaigns!$D$2:$D$3,dim_campaigns!$A$2:$A$3,"",0)</f>
        <v>Sankranti</v>
      </c>
      <c r="J1483" s="6">
        <f t="shared" si="46"/>
        <v>0.125</v>
      </c>
      <c r="K1483">
        <f t="shared" si="47"/>
        <v>7125</v>
      </c>
      <c r="L1483" t="str">
        <f>VLOOKUP($B1483,dim_stores!$A$1:$C$51,2,0)</f>
        <v>Mangalore</v>
      </c>
    </row>
    <row r="1484" spans="1:12" x14ac:dyDescent="0.3">
      <c r="A1484" t="s">
        <v>1464</v>
      </c>
      <c r="B1484" t="s">
        <v>52</v>
      </c>
      <c r="C1484" t="s">
        <v>15</v>
      </c>
      <c r="D1484" t="s">
        <v>53</v>
      </c>
      <c r="E1484">
        <v>860</v>
      </c>
      <c r="F1484" t="s">
        <v>54</v>
      </c>
      <c r="G1484">
        <v>267</v>
      </c>
      <c r="H1484">
        <v>389</v>
      </c>
      <c r="I1484" t="str">
        <f>_xlfn.XLOOKUP($C1484,dim_campaigns!$D$2:$D$3,dim_campaigns!$A$2:$A$3,"",0)</f>
        <v>Diwali</v>
      </c>
      <c r="J1484" s="6">
        <f t="shared" si="46"/>
        <v>0.45692883895131087</v>
      </c>
      <c r="K1484">
        <f t="shared" si="47"/>
        <v>453761.80000000005</v>
      </c>
      <c r="L1484" t="str">
        <f>VLOOKUP($B1484,dim_stores!$A$1:$C$51,2,0)</f>
        <v>Visakhapatnam</v>
      </c>
    </row>
    <row r="1485" spans="1:12" x14ac:dyDescent="0.3">
      <c r="A1485" t="s">
        <v>1465</v>
      </c>
      <c r="B1485" t="s">
        <v>50</v>
      </c>
      <c r="C1485" t="s">
        <v>15</v>
      </c>
      <c r="D1485" t="s">
        <v>48</v>
      </c>
      <c r="E1485">
        <v>62</v>
      </c>
      <c r="F1485" t="s">
        <v>12</v>
      </c>
      <c r="G1485">
        <v>126</v>
      </c>
      <c r="H1485">
        <v>157</v>
      </c>
      <c r="I1485" t="str">
        <f>_xlfn.XLOOKUP($C1485,dim_campaigns!$D$2:$D$3,dim_campaigns!$A$2:$A$3,"",0)</f>
        <v>Diwali</v>
      </c>
      <c r="J1485" s="6">
        <f t="shared" si="46"/>
        <v>0.24603174603174602</v>
      </c>
      <c r="K1485">
        <f t="shared" si="47"/>
        <v>12679</v>
      </c>
      <c r="L1485" t="str">
        <f>VLOOKUP($B1485,dim_stores!$A$1:$C$51,2,0)</f>
        <v>Bengaluru</v>
      </c>
    </row>
    <row r="1486" spans="1:12" x14ac:dyDescent="0.3">
      <c r="A1486" t="s">
        <v>1466</v>
      </c>
      <c r="B1486" t="s">
        <v>190</v>
      </c>
      <c r="C1486" t="s">
        <v>10</v>
      </c>
      <c r="D1486" t="s">
        <v>38</v>
      </c>
      <c r="E1486">
        <v>1190</v>
      </c>
      <c r="F1486" t="s">
        <v>21</v>
      </c>
      <c r="G1486">
        <v>28</v>
      </c>
      <c r="H1486">
        <v>108</v>
      </c>
      <c r="I1486" t="str">
        <f>_xlfn.XLOOKUP($C1486,dim_campaigns!$D$2:$D$3,dim_campaigns!$A$2:$A$3,"",0)</f>
        <v>Sankranti</v>
      </c>
      <c r="J1486" s="6">
        <f t="shared" si="46"/>
        <v>2.8571428571428572</v>
      </c>
      <c r="K1486">
        <f t="shared" si="47"/>
        <v>97580</v>
      </c>
      <c r="L1486" t="str">
        <f>VLOOKUP($B1486,dim_stores!$A$1:$C$51,2,0)</f>
        <v>Visakhapatnam</v>
      </c>
    </row>
    <row r="1487" spans="1:12" x14ac:dyDescent="0.3">
      <c r="A1487" t="s">
        <v>1467</v>
      </c>
      <c r="B1487" t="s">
        <v>78</v>
      </c>
      <c r="C1487" t="s">
        <v>15</v>
      </c>
      <c r="D1487" t="s">
        <v>38</v>
      </c>
      <c r="E1487">
        <v>1190</v>
      </c>
      <c r="F1487" t="s">
        <v>21</v>
      </c>
      <c r="G1487">
        <v>50</v>
      </c>
      <c r="H1487">
        <v>146</v>
      </c>
      <c r="I1487" t="str">
        <f>_xlfn.XLOOKUP($C1487,dim_campaigns!$D$2:$D$3,dim_campaigns!$A$2:$A$3,"",0)</f>
        <v>Diwali</v>
      </c>
      <c r="J1487" s="6">
        <f t="shared" si="46"/>
        <v>1.92</v>
      </c>
      <c r="K1487">
        <f t="shared" si="47"/>
        <v>146370</v>
      </c>
      <c r="L1487" t="str">
        <f>VLOOKUP($B1487,dim_stores!$A$1:$C$51,2,0)</f>
        <v>Mysuru</v>
      </c>
    </row>
    <row r="1488" spans="1:12" x14ac:dyDescent="0.3">
      <c r="A1488" t="s">
        <v>1468</v>
      </c>
      <c r="B1488" t="s">
        <v>47</v>
      </c>
      <c r="C1488" t="s">
        <v>10</v>
      </c>
      <c r="D1488" t="s">
        <v>68</v>
      </c>
      <c r="E1488">
        <v>1020</v>
      </c>
      <c r="F1488" t="s">
        <v>21</v>
      </c>
      <c r="G1488">
        <v>138</v>
      </c>
      <c r="H1488">
        <v>547</v>
      </c>
      <c r="I1488" t="str">
        <f>_xlfn.XLOOKUP($C1488,dim_campaigns!$D$2:$D$3,dim_campaigns!$A$2:$A$3,"",0)</f>
        <v>Sankranti</v>
      </c>
      <c r="J1488" s="6">
        <f t="shared" si="46"/>
        <v>2.9637681159420288</v>
      </c>
      <c r="K1488">
        <f t="shared" si="47"/>
        <v>419730</v>
      </c>
      <c r="L1488" t="str">
        <f>VLOOKUP($B1488,dim_stores!$A$1:$C$51,2,0)</f>
        <v>Chennai</v>
      </c>
    </row>
    <row r="1489" spans="1:12" x14ac:dyDescent="0.3">
      <c r="A1489" t="s">
        <v>1469</v>
      </c>
      <c r="B1489" t="s">
        <v>99</v>
      </c>
      <c r="C1489" t="s">
        <v>10</v>
      </c>
      <c r="D1489" t="s">
        <v>35</v>
      </c>
      <c r="E1489">
        <v>350</v>
      </c>
      <c r="F1489" t="s">
        <v>21</v>
      </c>
      <c r="G1489">
        <v>99</v>
      </c>
      <c r="H1489">
        <v>383</v>
      </c>
      <c r="I1489" t="str">
        <f>_xlfn.XLOOKUP($C1489,dim_campaigns!$D$2:$D$3,dim_campaigns!$A$2:$A$3,"",0)</f>
        <v>Sankranti</v>
      </c>
      <c r="J1489" s="6">
        <f t="shared" si="46"/>
        <v>2.8686868686868685</v>
      </c>
      <c r="K1489">
        <f t="shared" si="47"/>
        <v>101675</v>
      </c>
      <c r="L1489" t="str">
        <f>VLOOKUP($B1489,dim_stores!$A$1:$C$51,2,0)</f>
        <v>Coimbatore</v>
      </c>
    </row>
    <row r="1490" spans="1:12" x14ac:dyDescent="0.3">
      <c r="A1490" t="s">
        <v>1470</v>
      </c>
      <c r="B1490" t="s">
        <v>14</v>
      </c>
      <c r="C1490" t="s">
        <v>15</v>
      </c>
      <c r="D1490" t="s">
        <v>85</v>
      </c>
      <c r="E1490">
        <v>110</v>
      </c>
      <c r="F1490" t="s">
        <v>12</v>
      </c>
      <c r="G1490">
        <v>61</v>
      </c>
      <c r="H1490">
        <v>77</v>
      </c>
      <c r="I1490" t="str">
        <f>_xlfn.XLOOKUP($C1490,dim_campaigns!$D$2:$D$3,dim_campaigns!$A$2:$A$3,"",0)</f>
        <v>Diwali</v>
      </c>
      <c r="J1490" s="6">
        <f t="shared" si="46"/>
        <v>0.26229508196721313</v>
      </c>
      <c r="K1490">
        <f t="shared" si="47"/>
        <v>10945</v>
      </c>
      <c r="L1490" t="str">
        <f>VLOOKUP($B1490,dim_stores!$A$1:$C$51,2,0)</f>
        <v>Bengaluru</v>
      </c>
    </row>
    <row r="1491" spans="1:12" x14ac:dyDescent="0.3">
      <c r="A1491" t="s">
        <v>1471</v>
      </c>
      <c r="B1491" t="s">
        <v>42</v>
      </c>
      <c r="C1491" t="s">
        <v>10</v>
      </c>
      <c r="D1491" t="s">
        <v>43</v>
      </c>
      <c r="E1491">
        <v>415</v>
      </c>
      <c r="F1491" t="s">
        <v>17</v>
      </c>
      <c r="G1491">
        <v>31</v>
      </c>
      <c r="H1491">
        <v>26</v>
      </c>
      <c r="I1491" t="str">
        <f>_xlfn.XLOOKUP($C1491,dim_campaigns!$D$2:$D$3,dim_campaigns!$A$2:$A$3,"",0)</f>
        <v>Sankranti</v>
      </c>
      <c r="J1491" s="6">
        <f t="shared" si="46"/>
        <v>-0.16129032258064516</v>
      </c>
      <c r="K1491">
        <f t="shared" si="47"/>
        <v>20957.5</v>
      </c>
      <c r="L1491" t="str">
        <f>VLOOKUP($B1491,dim_stores!$A$1:$C$51,2,0)</f>
        <v>Mysuru</v>
      </c>
    </row>
    <row r="1492" spans="1:12" x14ac:dyDescent="0.3">
      <c r="A1492" t="s">
        <v>1472</v>
      </c>
      <c r="B1492" t="s">
        <v>37</v>
      </c>
      <c r="C1492" t="s">
        <v>15</v>
      </c>
      <c r="D1492" t="s">
        <v>16</v>
      </c>
      <c r="E1492">
        <v>156</v>
      </c>
      <c r="F1492" t="s">
        <v>17</v>
      </c>
      <c r="G1492">
        <v>257</v>
      </c>
      <c r="H1492">
        <v>221</v>
      </c>
      <c r="I1492" t="str">
        <f>_xlfn.XLOOKUP($C1492,dim_campaigns!$D$2:$D$3,dim_campaigns!$A$2:$A$3,"",0)</f>
        <v>Diwali</v>
      </c>
      <c r="J1492" s="6">
        <f t="shared" si="46"/>
        <v>-0.14007782101167315</v>
      </c>
      <c r="K1492">
        <f t="shared" si="47"/>
        <v>65949</v>
      </c>
      <c r="L1492" t="str">
        <f>VLOOKUP($B1492,dim_stores!$A$1:$C$51,2,0)</f>
        <v>Coimbatore</v>
      </c>
    </row>
    <row r="1493" spans="1:12" x14ac:dyDescent="0.3">
      <c r="A1493" t="s">
        <v>1473</v>
      </c>
      <c r="B1493" t="s">
        <v>31</v>
      </c>
      <c r="C1493" t="s">
        <v>15</v>
      </c>
      <c r="D1493" t="s">
        <v>24</v>
      </c>
      <c r="E1493">
        <v>3000</v>
      </c>
      <c r="F1493" t="s">
        <v>25</v>
      </c>
      <c r="G1493">
        <v>204</v>
      </c>
      <c r="H1493">
        <v>589</v>
      </c>
      <c r="I1493" t="str">
        <f>_xlfn.XLOOKUP($C1493,dim_campaigns!$D$2:$D$3,dim_campaigns!$A$2:$A$3,"",0)</f>
        <v>Diwali</v>
      </c>
      <c r="J1493" s="6">
        <f t="shared" si="46"/>
        <v>1.8872549019607843</v>
      </c>
      <c r="K1493">
        <f t="shared" si="47"/>
        <v>2084500</v>
      </c>
      <c r="L1493" t="str">
        <f>VLOOKUP($B1493,dim_stores!$A$1:$C$51,2,0)</f>
        <v>Visakhapatnam</v>
      </c>
    </row>
    <row r="1494" spans="1:12" x14ac:dyDescent="0.3">
      <c r="A1494">
        <v>11578</v>
      </c>
      <c r="B1494" t="s">
        <v>91</v>
      </c>
      <c r="C1494" t="s">
        <v>10</v>
      </c>
      <c r="D1494" t="s">
        <v>68</v>
      </c>
      <c r="E1494">
        <v>1020</v>
      </c>
      <c r="F1494" t="s">
        <v>21</v>
      </c>
      <c r="G1494">
        <v>87</v>
      </c>
      <c r="H1494">
        <v>236</v>
      </c>
      <c r="I1494" t="str">
        <f>_xlfn.XLOOKUP($C1494,dim_campaigns!$D$2:$D$3,dim_campaigns!$A$2:$A$3,"",0)</f>
        <v>Sankranti</v>
      </c>
      <c r="J1494" s="6">
        <f t="shared" si="46"/>
        <v>1.7126436781609196</v>
      </c>
      <c r="K1494">
        <f t="shared" si="47"/>
        <v>209100</v>
      </c>
      <c r="L1494" t="str">
        <f>VLOOKUP($B1494,dim_stores!$A$1:$C$51,2,0)</f>
        <v>Hyderabad</v>
      </c>
    </row>
    <row r="1495" spans="1:12" x14ac:dyDescent="0.3">
      <c r="A1495" t="s">
        <v>1474</v>
      </c>
      <c r="B1495" t="s">
        <v>37</v>
      </c>
      <c r="C1495" t="s">
        <v>10</v>
      </c>
      <c r="D1495" t="s">
        <v>28</v>
      </c>
      <c r="E1495">
        <v>55</v>
      </c>
      <c r="F1495" t="s">
        <v>17</v>
      </c>
      <c r="G1495">
        <v>16</v>
      </c>
      <c r="H1495">
        <v>12</v>
      </c>
      <c r="I1495" t="str">
        <f>_xlfn.XLOOKUP($C1495,dim_campaigns!$D$2:$D$3,dim_campaigns!$A$2:$A$3,"",0)</f>
        <v>Sankranti</v>
      </c>
      <c r="J1495" s="6">
        <f t="shared" si="46"/>
        <v>-0.25</v>
      </c>
      <c r="K1495">
        <f t="shared" si="47"/>
        <v>1375</v>
      </c>
      <c r="L1495" t="str">
        <f>VLOOKUP($B1495,dim_stores!$A$1:$C$51,2,0)</f>
        <v>Coimbatore</v>
      </c>
    </row>
    <row r="1496" spans="1:12" x14ac:dyDescent="0.3">
      <c r="A1496" t="s">
        <v>1475</v>
      </c>
      <c r="B1496" t="s">
        <v>14</v>
      </c>
      <c r="C1496" t="s">
        <v>10</v>
      </c>
      <c r="D1496" t="s">
        <v>43</v>
      </c>
      <c r="E1496">
        <v>415</v>
      </c>
      <c r="F1496" t="s">
        <v>17</v>
      </c>
      <c r="G1496">
        <v>22</v>
      </c>
      <c r="H1496">
        <v>16</v>
      </c>
      <c r="I1496" t="str">
        <f>_xlfn.XLOOKUP($C1496,dim_campaigns!$D$2:$D$3,dim_campaigns!$A$2:$A$3,"",0)</f>
        <v>Sankranti</v>
      </c>
      <c r="J1496" s="6">
        <f t="shared" si="46"/>
        <v>-0.27272727272727271</v>
      </c>
      <c r="K1496">
        <f t="shared" si="47"/>
        <v>14110</v>
      </c>
      <c r="L1496" t="str">
        <f>VLOOKUP($B1496,dim_stores!$A$1:$C$51,2,0)</f>
        <v>Bengaluru</v>
      </c>
    </row>
    <row r="1497" spans="1:12" x14ac:dyDescent="0.3">
      <c r="A1497" s="1" t="s">
        <v>1476</v>
      </c>
      <c r="B1497" t="s">
        <v>50</v>
      </c>
      <c r="C1497" t="s">
        <v>10</v>
      </c>
      <c r="D1497" t="s">
        <v>48</v>
      </c>
      <c r="E1497">
        <v>62</v>
      </c>
      <c r="F1497" t="s">
        <v>12</v>
      </c>
      <c r="G1497">
        <v>61</v>
      </c>
      <c r="H1497">
        <v>84</v>
      </c>
      <c r="I1497" t="str">
        <f>_xlfn.XLOOKUP($C1497,dim_campaigns!$D$2:$D$3,dim_campaigns!$A$2:$A$3,"",0)</f>
        <v>Sankranti</v>
      </c>
      <c r="J1497" s="6">
        <f t="shared" si="46"/>
        <v>0.37704918032786883</v>
      </c>
      <c r="K1497">
        <f t="shared" si="47"/>
        <v>6386</v>
      </c>
      <c r="L1497" t="str">
        <f>VLOOKUP($B1497,dim_stores!$A$1:$C$51,2,0)</f>
        <v>Bengaluru</v>
      </c>
    </row>
    <row r="1498" spans="1:12" x14ac:dyDescent="0.3">
      <c r="A1498" t="s">
        <v>1477</v>
      </c>
      <c r="B1498" t="s">
        <v>142</v>
      </c>
      <c r="C1498" t="s">
        <v>10</v>
      </c>
      <c r="D1498" t="s">
        <v>32</v>
      </c>
      <c r="E1498">
        <v>50</v>
      </c>
      <c r="F1498" t="s">
        <v>17</v>
      </c>
      <c r="G1498">
        <v>22</v>
      </c>
      <c r="H1498">
        <v>18</v>
      </c>
      <c r="I1498" t="str">
        <f>_xlfn.XLOOKUP($C1498,dim_campaigns!$D$2:$D$3,dim_campaigns!$A$2:$A$3,"",0)</f>
        <v>Sankranti</v>
      </c>
      <c r="J1498" s="6">
        <f t="shared" si="46"/>
        <v>-0.18181818181818182</v>
      </c>
      <c r="K1498">
        <f t="shared" si="47"/>
        <v>1775</v>
      </c>
      <c r="L1498" t="str">
        <f>VLOOKUP($B1498,dim_stores!$A$1:$C$51,2,0)</f>
        <v>Madurai</v>
      </c>
    </row>
    <row r="1499" spans="1:12" x14ac:dyDescent="0.3">
      <c r="A1499" t="s">
        <v>1478</v>
      </c>
      <c r="B1499" t="s">
        <v>107</v>
      </c>
      <c r="C1499" t="s">
        <v>15</v>
      </c>
      <c r="D1499" t="s">
        <v>48</v>
      </c>
      <c r="E1499">
        <v>62</v>
      </c>
      <c r="F1499" t="s">
        <v>12</v>
      </c>
      <c r="G1499">
        <v>80</v>
      </c>
      <c r="H1499">
        <v>119</v>
      </c>
      <c r="I1499" t="str">
        <f>_xlfn.XLOOKUP($C1499,dim_campaigns!$D$2:$D$3,dim_campaigns!$A$2:$A$3,"",0)</f>
        <v>Diwali</v>
      </c>
      <c r="J1499" s="6">
        <f t="shared" si="46"/>
        <v>0.48749999999999999</v>
      </c>
      <c r="K1499">
        <f t="shared" si="47"/>
        <v>8649</v>
      </c>
      <c r="L1499" t="str">
        <f>VLOOKUP($B1499,dim_stores!$A$1:$C$51,2,0)</f>
        <v>Coimbatore</v>
      </c>
    </row>
    <row r="1500" spans="1:12" x14ac:dyDescent="0.3">
      <c r="A1500" t="s">
        <v>1479</v>
      </c>
      <c r="B1500" t="s">
        <v>190</v>
      </c>
      <c r="C1500" t="s">
        <v>10</v>
      </c>
      <c r="D1500" t="s">
        <v>35</v>
      </c>
      <c r="E1500">
        <v>350</v>
      </c>
      <c r="F1500" t="s">
        <v>21</v>
      </c>
      <c r="G1500">
        <v>73</v>
      </c>
      <c r="H1500">
        <v>282</v>
      </c>
      <c r="I1500" t="str">
        <f>_xlfn.XLOOKUP($C1500,dim_campaigns!$D$2:$D$3,dim_campaigns!$A$2:$A$3,"",0)</f>
        <v>Sankranti</v>
      </c>
      <c r="J1500" s="6">
        <f t="shared" si="46"/>
        <v>2.8630136986301369</v>
      </c>
      <c r="K1500">
        <f t="shared" si="47"/>
        <v>74900</v>
      </c>
      <c r="L1500" t="str">
        <f>VLOOKUP($B1500,dim_stores!$A$1:$C$51,2,0)</f>
        <v>Visakhapatnam</v>
      </c>
    </row>
    <row r="1501" spans="1:12" x14ac:dyDescent="0.3">
      <c r="A1501" t="s">
        <v>1480</v>
      </c>
      <c r="B1501" t="s">
        <v>115</v>
      </c>
      <c r="C1501" t="s">
        <v>10</v>
      </c>
      <c r="D1501" t="s">
        <v>48</v>
      </c>
      <c r="E1501">
        <v>62</v>
      </c>
      <c r="F1501" t="s">
        <v>12</v>
      </c>
      <c r="G1501">
        <v>52</v>
      </c>
      <c r="H1501">
        <v>73</v>
      </c>
      <c r="I1501" t="str">
        <f>_xlfn.XLOOKUP($C1501,dim_campaigns!$D$2:$D$3,dim_campaigns!$A$2:$A$3,"",0)</f>
        <v>Sankranti</v>
      </c>
      <c r="J1501" s="6">
        <f t="shared" si="46"/>
        <v>0.40384615384615385</v>
      </c>
      <c r="K1501">
        <f t="shared" si="47"/>
        <v>5487</v>
      </c>
      <c r="L1501" t="str">
        <f>VLOOKUP($B1501,dim_stores!$A$1:$C$51,2,0)</f>
        <v>Bengaluru</v>
      </c>
    </row>
  </sheetData>
  <autoFilter ref="A1:I1501" xr:uid="{71F00267-8A17-4787-AEC6-5374D5913F7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E08C-3366-42FA-880B-81906C537F18}">
  <dimension ref="A1:G51"/>
  <sheetViews>
    <sheetView workbookViewId="0">
      <selection activeCell="G8" sqref="G8"/>
    </sheetView>
  </sheetViews>
  <sheetFormatPr defaultRowHeight="14.4" x14ac:dyDescent="0.3"/>
  <cols>
    <col min="2" max="2" width="21.88671875" customWidth="1"/>
    <col min="3" max="3" width="19.21875" customWidth="1"/>
    <col min="7" max="7" width="12.5546875" bestFit="1" customWidth="1"/>
  </cols>
  <sheetData>
    <row r="1" spans="1:7" x14ac:dyDescent="0.3">
      <c r="A1" t="s">
        <v>1</v>
      </c>
      <c r="B1" t="s">
        <v>1481</v>
      </c>
      <c r="C1" s="4" t="s">
        <v>1522</v>
      </c>
    </row>
    <row r="2" spans="1:7" x14ac:dyDescent="0.3">
      <c r="A2" t="s">
        <v>60</v>
      </c>
      <c r="B2" t="s">
        <v>1482</v>
      </c>
      <c r="C2" s="8">
        <f>SUMIF(fact_events!$B$2:$B$1501,A2,fact_events!$K$2:$K$1501)</f>
        <v>4585941.42</v>
      </c>
    </row>
    <row r="3" spans="1:7" x14ac:dyDescent="0.3">
      <c r="A3" t="s">
        <v>75</v>
      </c>
      <c r="B3" t="s">
        <v>1483</v>
      </c>
      <c r="C3" s="8">
        <f>SUMIF(fact_events!$B$2:$B$1501,A3,fact_events!$K$2:$K$1501)</f>
        <v>7484175.6999999993</v>
      </c>
    </row>
    <row r="4" spans="1:7" x14ac:dyDescent="0.3">
      <c r="A4" t="s">
        <v>45</v>
      </c>
      <c r="B4" t="s">
        <v>1484</v>
      </c>
      <c r="C4" s="8">
        <f>SUMIF(fact_events!$B$2:$B$1501,A4,fact_events!$K$2:$K$1501)</f>
        <v>8863318.2200000007</v>
      </c>
    </row>
    <row r="5" spans="1:7" x14ac:dyDescent="0.3">
      <c r="A5" t="s">
        <v>63</v>
      </c>
      <c r="B5" t="s">
        <v>1485</v>
      </c>
      <c r="C5" s="8">
        <f>SUMIF(fact_events!$B$2:$B$1501,A5,fact_events!$K$2:$K$1501)</f>
        <v>6619042.1400000006</v>
      </c>
    </row>
    <row r="6" spans="1:7" x14ac:dyDescent="0.3">
      <c r="A6" t="s">
        <v>99</v>
      </c>
      <c r="B6" t="s">
        <v>1486</v>
      </c>
      <c r="C6" s="8">
        <f>SUMIF(fact_events!$B$2:$B$1501,A6,fact_events!$K$2:$K$1501)</f>
        <v>6196168.4100000001</v>
      </c>
    </row>
    <row r="7" spans="1:7" x14ac:dyDescent="0.3">
      <c r="A7" t="s">
        <v>14</v>
      </c>
      <c r="B7" t="s">
        <v>1487</v>
      </c>
      <c r="C7" s="8">
        <f>SUMIF(fact_events!$B$2:$B$1501,A7,fact_events!$K$2:$K$1501)</f>
        <v>9480657.6799999997</v>
      </c>
    </row>
    <row r="8" spans="1:7" x14ac:dyDescent="0.3">
      <c r="A8" t="s">
        <v>193</v>
      </c>
      <c r="B8" t="s">
        <v>1487</v>
      </c>
      <c r="C8" s="8">
        <f>SUMIF(fact_events!$B$2:$B$1501,A8,fact_events!$K$2:$K$1501)</f>
        <v>8020512.7800000003</v>
      </c>
      <c r="G8" s="8"/>
    </row>
    <row r="9" spans="1:7" x14ac:dyDescent="0.3">
      <c r="A9" t="s">
        <v>161</v>
      </c>
      <c r="B9" t="s">
        <v>1488</v>
      </c>
      <c r="C9" s="8">
        <f>SUMIF(fact_events!$B$2:$B$1501,A9,fact_events!$K$2:$K$1501)</f>
        <v>9854530.7200000007</v>
      </c>
    </row>
    <row r="10" spans="1:7" x14ac:dyDescent="0.3">
      <c r="A10" t="s">
        <v>107</v>
      </c>
      <c r="B10" t="s">
        <v>1486</v>
      </c>
      <c r="C10" s="8">
        <f>SUMIF(fact_events!$B$2:$B$1501,A10,fact_events!$K$2:$K$1501)</f>
        <v>7467733.7200000007</v>
      </c>
    </row>
    <row r="11" spans="1:7" x14ac:dyDescent="0.3">
      <c r="A11" t="s">
        <v>190</v>
      </c>
      <c r="B11" t="s">
        <v>1485</v>
      </c>
      <c r="C11" s="8">
        <f>SUMIF(fact_events!$B$2:$B$1501,A11,fact_events!$K$2:$K$1501)</f>
        <v>6210845.2300000004</v>
      </c>
    </row>
    <row r="12" spans="1:7" x14ac:dyDescent="0.3">
      <c r="A12" t="s">
        <v>58</v>
      </c>
      <c r="B12" t="s">
        <v>1488</v>
      </c>
      <c r="C12" s="8">
        <f>SUMIF(fact_events!$B$2:$B$1501,A12,fact_events!$K$2:$K$1501)</f>
        <v>9075445.709999999</v>
      </c>
    </row>
    <row r="13" spans="1:7" x14ac:dyDescent="0.3">
      <c r="A13" t="s">
        <v>65</v>
      </c>
      <c r="B13" t="s">
        <v>1484</v>
      </c>
      <c r="C13" s="8">
        <f>SUMIF(fact_events!$B$2:$B$1501,A13,fact_events!$K$2:$K$1501)</f>
        <v>8576997.8300000001</v>
      </c>
    </row>
    <row r="14" spans="1:7" x14ac:dyDescent="0.3">
      <c r="A14" t="s">
        <v>142</v>
      </c>
      <c r="B14" t="s">
        <v>1483</v>
      </c>
      <c r="C14" s="8">
        <f>SUMIF(fact_events!$B$2:$B$1501,A14,fact_events!$K$2:$K$1501)</f>
        <v>6883505.5699999994</v>
      </c>
    </row>
    <row r="15" spans="1:7" x14ac:dyDescent="0.3">
      <c r="A15" t="s">
        <v>19</v>
      </c>
      <c r="B15" t="s">
        <v>1489</v>
      </c>
      <c r="C15" s="8">
        <f>SUMIF(fact_events!$B$2:$B$1501,A15,fact_events!$K$2:$K$1501)</f>
        <v>5036476.4200000009</v>
      </c>
    </row>
    <row r="16" spans="1:7" x14ac:dyDescent="0.3">
      <c r="A16" t="s">
        <v>40</v>
      </c>
      <c r="B16" t="s">
        <v>1483</v>
      </c>
      <c r="C16" s="8">
        <f>SUMIF(fact_events!$B$2:$B$1501,A16,fact_events!$K$2:$K$1501)</f>
        <v>7077513.7299999995</v>
      </c>
    </row>
    <row r="17" spans="1:3" x14ac:dyDescent="0.3">
      <c r="A17" t="s">
        <v>96</v>
      </c>
      <c r="B17" t="s">
        <v>1490</v>
      </c>
      <c r="C17" s="8">
        <f>SUMIF(fact_events!$B$2:$B$1501,A17,fact_events!$K$2:$K$1501)</f>
        <v>9808940.9800000004</v>
      </c>
    </row>
    <row r="18" spans="1:3" x14ac:dyDescent="0.3">
      <c r="A18" t="s">
        <v>126</v>
      </c>
      <c r="B18" t="s">
        <v>1491</v>
      </c>
      <c r="C18" s="8">
        <f>SUMIF(fact_events!$B$2:$B$1501,A18,fact_events!$K$2:$K$1501)</f>
        <v>4046053.2399999998</v>
      </c>
    </row>
    <row r="19" spans="1:3" x14ac:dyDescent="0.3">
      <c r="A19" t="s">
        <v>52</v>
      </c>
      <c r="B19" t="s">
        <v>1485</v>
      </c>
      <c r="C19" s="8">
        <f>SUMIF(fact_events!$B$2:$B$1501,A19,fact_events!$K$2:$K$1501)</f>
        <v>6000234.1100000003</v>
      </c>
    </row>
    <row r="20" spans="1:3" x14ac:dyDescent="0.3">
      <c r="A20" t="s">
        <v>119</v>
      </c>
      <c r="B20" t="s">
        <v>1488</v>
      </c>
      <c r="C20" s="8">
        <f>SUMIF(fact_events!$B$2:$B$1501,A20,fact_events!$K$2:$K$1501)</f>
        <v>9601624.3299999982</v>
      </c>
    </row>
    <row r="21" spans="1:3" x14ac:dyDescent="0.3">
      <c r="A21" t="s">
        <v>47</v>
      </c>
      <c r="B21" t="s">
        <v>1488</v>
      </c>
      <c r="C21" s="8">
        <f>SUMIF(fact_events!$B$2:$B$1501,A21,fact_events!$K$2:$K$1501)</f>
        <v>9877344.7100000009</v>
      </c>
    </row>
    <row r="22" spans="1:3" x14ac:dyDescent="0.3">
      <c r="A22" t="s">
        <v>27</v>
      </c>
      <c r="B22" t="s">
        <v>1487</v>
      </c>
      <c r="C22" s="8">
        <f>SUMIF(fact_events!$B$2:$B$1501,A22,fact_events!$K$2:$K$1501)</f>
        <v>10100229.290000001</v>
      </c>
    </row>
    <row r="23" spans="1:3" x14ac:dyDescent="0.3">
      <c r="A23" t="s">
        <v>9</v>
      </c>
      <c r="B23" t="s">
        <v>1486</v>
      </c>
      <c r="C23" s="8">
        <f>SUMIF(fact_events!$B$2:$B$1501,A23,fact_events!$K$2:$K$1501)</f>
        <v>6787885.9000000004</v>
      </c>
    </row>
    <row r="24" spans="1:3" x14ac:dyDescent="0.3">
      <c r="A24" t="s">
        <v>117</v>
      </c>
      <c r="B24" t="s">
        <v>1491</v>
      </c>
      <c r="C24" s="8">
        <f>SUMIF(fact_events!$B$2:$B$1501,A24,fact_events!$K$2:$K$1501)</f>
        <v>4563563.88</v>
      </c>
    </row>
    <row r="25" spans="1:3" x14ac:dyDescent="0.3">
      <c r="A25" t="s">
        <v>56</v>
      </c>
      <c r="B25" t="s">
        <v>1488</v>
      </c>
      <c r="C25" s="8">
        <f>SUMIF(fact_events!$B$2:$B$1501,A25,fact_events!$K$2:$K$1501)</f>
        <v>8753746.8200000003</v>
      </c>
    </row>
    <row r="26" spans="1:3" x14ac:dyDescent="0.3">
      <c r="A26" t="s">
        <v>113</v>
      </c>
      <c r="B26" t="s">
        <v>1488</v>
      </c>
      <c r="C26" s="8">
        <f>SUMIF(fact_events!$B$2:$B$1501,A26,fact_events!$K$2:$K$1501)</f>
        <v>7504957.6399999997</v>
      </c>
    </row>
    <row r="27" spans="1:3" x14ac:dyDescent="0.3">
      <c r="A27" t="s">
        <v>93</v>
      </c>
      <c r="B27" t="s">
        <v>1487</v>
      </c>
      <c r="C27" s="8">
        <f>SUMIF(fact_events!$B$2:$B$1501,A27,fact_events!$K$2:$K$1501)</f>
        <v>9173712.8100000005</v>
      </c>
    </row>
    <row r="28" spans="1:3" x14ac:dyDescent="0.3">
      <c r="A28" t="s">
        <v>78</v>
      </c>
      <c r="B28" t="s">
        <v>1490</v>
      </c>
      <c r="C28" s="8">
        <f>SUMIF(fact_events!$B$2:$B$1501,A28,fact_events!$K$2:$K$1501)</f>
        <v>6751407.0600000005</v>
      </c>
    </row>
    <row r="29" spans="1:3" x14ac:dyDescent="0.3">
      <c r="A29" t="s">
        <v>81</v>
      </c>
      <c r="B29" t="s">
        <v>1483</v>
      </c>
      <c r="C29" s="8">
        <f>SUMIF(fact_events!$B$2:$B$1501,A29,fact_events!$K$2:$K$1501)</f>
        <v>8186785.0099999998</v>
      </c>
    </row>
    <row r="30" spans="1:3" x14ac:dyDescent="0.3">
      <c r="A30" t="s">
        <v>115</v>
      </c>
      <c r="B30" t="s">
        <v>1487</v>
      </c>
      <c r="C30" s="8">
        <f>SUMIF(fact_events!$B$2:$B$1501,A30,fact_events!$K$2:$K$1501)</f>
        <v>8721752.5899999999</v>
      </c>
    </row>
    <row r="31" spans="1:3" x14ac:dyDescent="0.3">
      <c r="A31" t="s">
        <v>31</v>
      </c>
      <c r="B31" t="s">
        <v>1485</v>
      </c>
      <c r="C31" s="8">
        <f>SUMIF(fact_events!$B$2:$B$1501,A31,fact_events!$K$2:$K$1501)</f>
        <v>5656580.0899999999</v>
      </c>
    </row>
    <row r="32" spans="1:3" x14ac:dyDescent="0.3">
      <c r="A32" t="s">
        <v>174</v>
      </c>
      <c r="B32" t="s">
        <v>1482</v>
      </c>
      <c r="C32" s="8">
        <f>SUMIF(fact_events!$B$2:$B$1501,A32,fact_events!$K$2:$K$1501)</f>
        <v>4168916.09</v>
      </c>
    </row>
    <row r="33" spans="1:3" x14ac:dyDescent="0.3">
      <c r="A33" t="s">
        <v>50</v>
      </c>
      <c r="B33" t="s">
        <v>1487</v>
      </c>
      <c r="C33" s="8">
        <f>SUMIF(fact_events!$B$2:$B$1501,A33,fact_events!$K$2:$K$1501)</f>
        <v>9501497.4000000004</v>
      </c>
    </row>
    <row r="34" spans="1:3" x14ac:dyDescent="0.3">
      <c r="A34" t="s">
        <v>207</v>
      </c>
      <c r="B34" t="s">
        <v>1484</v>
      </c>
      <c r="C34" s="8">
        <f>SUMIF(fact_events!$B$2:$B$1501,A34,fact_events!$K$2:$K$1501)</f>
        <v>9229940.1199999992</v>
      </c>
    </row>
    <row r="35" spans="1:3" x14ac:dyDescent="0.3">
      <c r="A35" t="s">
        <v>29</v>
      </c>
      <c r="B35" t="s">
        <v>1487</v>
      </c>
      <c r="C35" s="8">
        <f>SUMIF(fact_events!$B$2:$B$1501,A35,fact_events!$K$2:$K$1501)</f>
        <v>9169109.5300000012</v>
      </c>
    </row>
    <row r="36" spans="1:3" x14ac:dyDescent="0.3">
      <c r="A36" t="s">
        <v>95</v>
      </c>
      <c r="B36" t="s">
        <v>1484</v>
      </c>
      <c r="C36" s="8">
        <f>SUMIF(fact_events!$B$2:$B$1501,A36,fact_events!$K$2:$K$1501)</f>
        <v>9257237.9900000002</v>
      </c>
    </row>
    <row r="37" spans="1:3" x14ac:dyDescent="0.3">
      <c r="A37" t="s">
        <v>212</v>
      </c>
      <c r="B37" t="s">
        <v>1487</v>
      </c>
      <c r="C37" s="8">
        <f>SUMIF(fact_events!$B$2:$B$1501,A37,fact_events!$K$2:$K$1501)</f>
        <v>10107879.33</v>
      </c>
    </row>
    <row r="38" spans="1:3" x14ac:dyDescent="0.3">
      <c r="A38" t="s">
        <v>139</v>
      </c>
      <c r="B38" t="s">
        <v>1485</v>
      </c>
      <c r="C38" s="8">
        <f>SUMIF(fact_events!$B$2:$B$1501,A38,fact_events!$K$2:$K$1501)</f>
        <v>5640404.4699999997</v>
      </c>
    </row>
    <row r="39" spans="1:3" x14ac:dyDescent="0.3">
      <c r="A39" t="s">
        <v>23</v>
      </c>
      <c r="B39" t="s">
        <v>1486</v>
      </c>
      <c r="C39" s="8">
        <f>SUMIF(fact_events!$B$2:$B$1501,A39,fact_events!$K$2:$K$1501)</f>
        <v>6998236.0100000007</v>
      </c>
    </row>
    <row r="40" spans="1:3" x14ac:dyDescent="0.3">
      <c r="A40" t="s">
        <v>103</v>
      </c>
      <c r="B40" t="s">
        <v>1484</v>
      </c>
      <c r="C40" s="8">
        <f>SUMIF(fact_events!$B$2:$B$1501,A40,fact_events!$K$2:$K$1501)</f>
        <v>7619058.2699999996</v>
      </c>
    </row>
    <row r="41" spans="1:3" x14ac:dyDescent="0.3">
      <c r="A41" t="s">
        <v>42</v>
      </c>
      <c r="B41" t="s">
        <v>1490</v>
      </c>
      <c r="C41" s="8">
        <f>SUMIF(fact_events!$B$2:$B$1501,A41,fact_events!$K$2:$K$1501)</f>
        <v>8690426.6999999993</v>
      </c>
    </row>
    <row r="42" spans="1:3" x14ac:dyDescent="0.3">
      <c r="A42" t="s">
        <v>137</v>
      </c>
      <c r="B42" t="s">
        <v>1491</v>
      </c>
      <c r="C42" s="8">
        <f>SUMIF(fact_events!$B$2:$B$1501,A42,fact_events!$K$2:$K$1501)</f>
        <v>4822924.08</v>
      </c>
    </row>
    <row r="43" spans="1:3" x14ac:dyDescent="0.3">
      <c r="A43" t="s">
        <v>67</v>
      </c>
      <c r="B43" t="s">
        <v>1487</v>
      </c>
      <c r="C43" s="8">
        <f>SUMIF(fact_events!$B$2:$B$1501,A43,fact_events!$K$2:$K$1501)</f>
        <v>10309113.65</v>
      </c>
    </row>
    <row r="44" spans="1:3" x14ac:dyDescent="0.3">
      <c r="A44" t="s">
        <v>34</v>
      </c>
      <c r="B44" t="s">
        <v>1484</v>
      </c>
      <c r="C44" s="8">
        <f>SUMIF(fact_events!$B$2:$B$1501,A44,fact_events!$K$2:$K$1501)</f>
        <v>8436438.6300000008</v>
      </c>
    </row>
    <row r="45" spans="1:3" x14ac:dyDescent="0.3">
      <c r="A45" t="s">
        <v>110</v>
      </c>
      <c r="B45" t="s">
        <v>1488</v>
      </c>
      <c r="C45" s="8">
        <f>SUMIF(fact_events!$B$2:$B$1501,A45,fact_events!$K$2:$K$1501)</f>
        <v>8419852.1999999993</v>
      </c>
    </row>
    <row r="46" spans="1:3" x14ac:dyDescent="0.3">
      <c r="A46" t="s">
        <v>123</v>
      </c>
      <c r="B46" t="s">
        <v>1487</v>
      </c>
      <c r="C46" s="8">
        <f>SUMIF(fact_events!$B$2:$B$1501,A46,fact_events!$K$2:$K$1501)</f>
        <v>8045252.7300000004</v>
      </c>
    </row>
    <row r="47" spans="1:3" x14ac:dyDescent="0.3">
      <c r="A47" t="s">
        <v>89</v>
      </c>
      <c r="B47" t="s">
        <v>1489</v>
      </c>
      <c r="C47" s="8">
        <f>SUMIF(fact_events!$B$2:$B$1501,A47,fact_events!$K$2:$K$1501)</f>
        <v>4994695.7</v>
      </c>
    </row>
    <row r="48" spans="1:3" x14ac:dyDescent="0.3">
      <c r="A48" t="s">
        <v>91</v>
      </c>
      <c r="B48" t="s">
        <v>1484</v>
      </c>
      <c r="C48" s="8">
        <f>SUMIF(fact_events!$B$2:$B$1501,A48,fact_events!$K$2:$K$1501)</f>
        <v>8610943.4299999997</v>
      </c>
    </row>
    <row r="49" spans="1:3" x14ac:dyDescent="0.3">
      <c r="A49" t="s">
        <v>70</v>
      </c>
      <c r="B49" t="s">
        <v>1488</v>
      </c>
      <c r="C49" s="8">
        <f>SUMIF(fact_events!$B$2:$B$1501,A49,fact_events!$K$2:$K$1501)</f>
        <v>10650350.030000001</v>
      </c>
    </row>
    <row r="50" spans="1:3" x14ac:dyDescent="0.3">
      <c r="A50" t="s">
        <v>37</v>
      </c>
      <c r="B50" t="s">
        <v>1486</v>
      </c>
      <c r="C50" s="8">
        <f>SUMIF(fact_events!$B$2:$B$1501,A50,fact_events!$K$2:$K$1501)</f>
        <v>6333091.9499999993</v>
      </c>
    </row>
    <row r="51" spans="1:3" x14ac:dyDescent="0.3">
      <c r="A51" t="s">
        <v>84</v>
      </c>
      <c r="B51" t="s">
        <v>1490</v>
      </c>
      <c r="C51" s="8">
        <f>SUMIF(fact_events!$B$2:$B$1501,A51,fact_events!$K$2:$K$1501)</f>
        <v>10712669.539999999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9235-9934-46A6-B33C-A8637E945953}">
  <dimension ref="A1:D16"/>
  <sheetViews>
    <sheetView workbookViewId="0">
      <selection activeCell="D3" sqref="D3"/>
    </sheetView>
  </sheetViews>
  <sheetFormatPr defaultRowHeight="14.4" x14ac:dyDescent="0.3"/>
  <cols>
    <col min="2" max="2" width="27.88671875" customWidth="1"/>
    <col min="3" max="3" width="20.33203125" customWidth="1"/>
    <col min="4" max="4" width="17.77734375" customWidth="1"/>
  </cols>
  <sheetData>
    <row r="1" spans="1:4" x14ac:dyDescent="0.3">
      <c r="A1" t="s">
        <v>3</v>
      </c>
      <c r="B1" t="s">
        <v>1492</v>
      </c>
      <c r="C1" t="s">
        <v>1493</v>
      </c>
      <c r="D1" s="4" t="s">
        <v>1523</v>
      </c>
    </row>
    <row r="2" spans="1:4" x14ac:dyDescent="0.3">
      <c r="A2" t="s">
        <v>61</v>
      </c>
      <c r="B2" t="s">
        <v>1494</v>
      </c>
      <c r="C2" t="s">
        <v>1495</v>
      </c>
      <c r="D2">
        <f>SUMIF(fact_events!$D$2:$D$1501,A2,fact_events!$G$2:$G$1501)+SUMIF(fact_events!$D$2:$D$1501,A2,fact_events!$H$2:$H$1501)</f>
        <v>63381</v>
      </c>
    </row>
    <row r="3" spans="1:4" x14ac:dyDescent="0.3">
      <c r="A3" t="s">
        <v>53</v>
      </c>
      <c r="B3" t="s">
        <v>1496</v>
      </c>
      <c r="C3" t="s">
        <v>1495</v>
      </c>
      <c r="D3">
        <f>SUMIF(fact_events!$D$2:$D$1501,A3,fact_events!$G$2:$G$1501)+SUMIF(fact_events!$D$2:$D$1501,A3,fact_events!$H$2:$H$1501)</f>
        <v>90516</v>
      </c>
    </row>
    <row r="4" spans="1:4" x14ac:dyDescent="0.3">
      <c r="A4" t="s">
        <v>16</v>
      </c>
      <c r="B4" t="s">
        <v>1497</v>
      </c>
      <c r="C4" t="s">
        <v>1495</v>
      </c>
      <c r="D4">
        <f>SUMIF(fact_events!$D$2:$D$1501,A4,fact_events!$G$2:$G$1501)+SUMIF(fact_events!$D$2:$D$1501,A4,fact_events!$H$2:$H$1501)</f>
        <v>105787</v>
      </c>
    </row>
    <row r="5" spans="1:4" x14ac:dyDescent="0.3">
      <c r="A5" t="s">
        <v>51</v>
      </c>
      <c r="B5" t="s">
        <v>1498</v>
      </c>
      <c r="C5" t="s">
        <v>1495</v>
      </c>
      <c r="D5">
        <f>SUMIF(fact_events!$D$2:$D$1501,A5,fact_events!$G$2:$G$1501)+SUMIF(fact_events!$D$2:$D$1501,A5,fact_events!$H$2:$H$1501)</f>
        <v>113630</v>
      </c>
    </row>
    <row r="6" spans="1:4" x14ac:dyDescent="0.3">
      <c r="A6" t="s">
        <v>28</v>
      </c>
      <c r="B6" t="s">
        <v>1499</v>
      </c>
      <c r="C6" t="s">
        <v>1500</v>
      </c>
      <c r="D6">
        <f>SUMIF(fact_events!$D$2:$D$1501,A6,fact_events!$G$2:$G$1501)+SUMIF(fact_events!$D$2:$D$1501,A6,fact_events!$H$2:$H$1501)</f>
        <v>10747</v>
      </c>
    </row>
    <row r="7" spans="1:4" x14ac:dyDescent="0.3">
      <c r="A7" t="s">
        <v>43</v>
      </c>
      <c r="B7" t="s">
        <v>1501</v>
      </c>
      <c r="C7" t="s">
        <v>1500</v>
      </c>
      <c r="D7">
        <f>SUMIF(fact_events!$D$2:$D$1501,A7,fact_events!$G$2:$G$1501)+SUMIF(fact_events!$D$2:$D$1501,A7,fact_events!$H$2:$H$1501)</f>
        <v>9679</v>
      </c>
    </row>
    <row r="8" spans="1:4" x14ac:dyDescent="0.3">
      <c r="A8" t="s">
        <v>85</v>
      </c>
      <c r="B8" t="s">
        <v>1502</v>
      </c>
      <c r="C8" t="s">
        <v>1503</v>
      </c>
      <c r="D8">
        <f>SUMIF(fact_events!$D$2:$D$1501,A8,fact_events!$G$2:$G$1501)+SUMIF(fact_events!$D$2:$D$1501,A8,fact_events!$H$2:$H$1501)</f>
        <v>12454</v>
      </c>
    </row>
    <row r="9" spans="1:4" x14ac:dyDescent="0.3">
      <c r="A9" t="s">
        <v>32</v>
      </c>
      <c r="B9" t="s">
        <v>1504</v>
      </c>
      <c r="C9" t="s">
        <v>1503</v>
      </c>
      <c r="D9">
        <f>SUMIF(fact_events!$D$2:$D$1501,A9,fact_events!$G$2:$G$1501)+SUMIF(fact_events!$D$2:$D$1501,A9,fact_events!$H$2:$H$1501)</f>
        <v>14077</v>
      </c>
    </row>
    <row r="10" spans="1:4" x14ac:dyDescent="0.3">
      <c r="A10" t="s">
        <v>35</v>
      </c>
      <c r="B10" t="s">
        <v>1505</v>
      </c>
      <c r="C10" t="s">
        <v>1506</v>
      </c>
      <c r="D10">
        <f>SUMIF(fact_events!$D$2:$D$1501,A10,fact_events!$G$2:$G$1501)+SUMIF(fact_events!$D$2:$D$1501,A10,fact_events!$H$2:$H$1501)</f>
        <v>38173</v>
      </c>
    </row>
    <row r="11" spans="1:4" x14ac:dyDescent="0.3">
      <c r="A11" t="s">
        <v>68</v>
      </c>
      <c r="B11" t="s">
        <v>1507</v>
      </c>
      <c r="C11" t="s">
        <v>1506</v>
      </c>
      <c r="D11">
        <f>SUMIF(fact_events!$D$2:$D$1501,A11,fact_events!$G$2:$G$1501)+SUMIF(fact_events!$D$2:$D$1501,A11,fact_events!$H$2:$H$1501)</f>
        <v>30153</v>
      </c>
    </row>
    <row r="12" spans="1:4" x14ac:dyDescent="0.3">
      <c r="A12" t="s">
        <v>11</v>
      </c>
      <c r="B12" t="s">
        <v>1508</v>
      </c>
      <c r="C12" t="s">
        <v>1503</v>
      </c>
      <c r="D12">
        <f>SUMIF(fact_events!$D$2:$D$1501,A12,fact_events!$G$2:$G$1501)+SUMIF(fact_events!$D$2:$D$1501,A12,fact_events!$H$2:$H$1501)</f>
        <v>12279</v>
      </c>
    </row>
    <row r="13" spans="1:4" x14ac:dyDescent="0.3">
      <c r="A13" t="s">
        <v>48</v>
      </c>
      <c r="B13" t="s">
        <v>1509</v>
      </c>
      <c r="C13" t="s">
        <v>1503</v>
      </c>
      <c r="D13">
        <f>SUMIF(fact_events!$D$2:$D$1501,A13,fact_events!$G$2:$G$1501)+SUMIF(fact_events!$D$2:$D$1501,A13,fact_events!$H$2:$H$1501)</f>
        <v>17998</v>
      </c>
    </row>
    <row r="14" spans="1:4" x14ac:dyDescent="0.3">
      <c r="A14" t="s">
        <v>20</v>
      </c>
      <c r="B14" t="s">
        <v>1510</v>
      </c>
      <c r="C14" t="s">
        <v>1500</v>
      </c>
      <c r="D14">
        <f>SUMIF(fact_events!$D$2:$D$1501,A14,fact_events!$G$2:$G$1501)+SUMIF(fact_events!$D$2:$D$1501,A14,fact_events!$H$2:$H$1501)</f>
        <v>20909</v>
      </c>
    </row>
    <row r="15" spans="1:4" x14ac:dyDescent="0.3">
      <c r="A15" t="s">
        <v>38</v>
      </c>
      <c r="B15" t="s">
        <v>1511</v>
      </c>
      <c r="C15" t="s">
        <v>1500</v>
      </c>
      <c r="D15">
        <f>SUMIF(fact_events!$D$2:$D$1501,A15,fact_events!$G$2:$G$1501)+SUMIF(fact_events!$D$2:$D$1501,A15,fact_events!$H$2:$H$1501)</f>
        <v>19261</v>
      </c>
    </row>
    <row r="16" spans="1:4" x14ac:dyDescent="0.3">
      <c r="A16" t="s">
        <v>24</v>
      </c>
      <c r="B16" t="s">
        <v>1512</v>
      </c>
      <c r="C16" t="s">
        <v>1513</v>
      </c>
      <c r="D16">
        <f>SUMIF(fact_events!$D$2:$D$1501,A16,fact_events!$G$2:$G$1501)+SUMIF(fact_events!$D$2:$D$1501,A16,fact_events!$H$2:$H$1501)</f>
        <v>85479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0277-1C1B-4C9E-A28A-C69C11B7A0FB}">
  <dimension ref="A1:D3"/>
  <sheetViews>
    <sheetView tabSelected="1" workbookViewId="0">
      <selection activeCell="B8" sqref="B8"/>
    </sheetView>
  </sheetViews>
  <sheetFormatPr defaultRowHeight="14.4" x14ac:dyDescent="0.3"/>
  <cols>
    <col min="1" max="1" width="18.88671875" customWidth="1"/>
    <col min="2" max="2" width="15.44140625" customWidth="1"/>
    <col min="3" max="3" width="16.33203125" customWidth="1"/>
  </cols>
  <sheetData>
    <row r="1" spans="1:4" x14ac:dyDescent="0.3">
      <c r="A1" t="s">
        <v>1514</v>
      </c>
      <c r="B1" t="s">
        <v>1515</v>
      </c>
      <c r="C1" t="s">
        <v>1516</v>
      </c>
      <c r="D1" t="s">
        <v>2</v>
      </c>
    </row>
    <row r="2" spans="1:4" x14ac:dyDescent="0.3">
      <c r="A2" t="s">
        <v>1517</v>
      </c>
      <c r="B2" s="2">
        <v>45271</v>
      </c>
      <c r="C2" t="s">
        <v>1518</v>
      </c>
      <c r="D2" t="s">
        <v>15</v>
      </c>
    </row>
    <row r="3" spans="1:4" x14ac:dyDescent="0.3">
      <c r="A3" t="s">
        <v>1519</v>
      </c>
      <c r="B3" s="2">
        <v>45566</v>
      </c>
      <c r="C3" t="s">
        <v>1520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fact_events</vt:lpstr>
      <vt:lpstr>dim_stores</vt:lpstr>
      <vt:lpstr>dim_products</vt:lpstr>
      <vt:lpstr>dim_campaigns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sapna panwar</cp:lastModifiedBy>
  <dcterms:created xsi:type="dcterms:W3CDTF">2025-03-15T05:41:41Z</dcterms:created>
  <dcterms:modified xsi:type="dcterms:W3CDTF">2026-09-02T11:54:51Z</dcterms:modified>
</cp:coreProperties>
</file>